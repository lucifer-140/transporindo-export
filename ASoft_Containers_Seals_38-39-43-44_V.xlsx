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Containers" sheetId="1" state="visible" r:id="rId3"/>
    <sheet name="38-V" sheetId="2" state="visible" r:id="rId4"/>
    <sheet name="39-V" sheetId="3" state="visible" r:id="rId5"/>
    <sheet name="43-V" sheetId="4" state="visible" r:id="rId6"/>
    <sheet name="44-V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<sst xmlns="http://schemas.openxmlformats.org/spreadsheetml/2006/main" count="594" uniqueCount="133">
  <si>
    <t xml:space="preserve">Container &amp; Seal List — Jobs 38/V, 39/V, 43/V, 44/V (May 2026)</t>
  </si>
  <si>
    <t xml:space="preserve">Source: EMKL_Detail in Master.Mdb · Trucking = Forwarder (TAS, PT./DAVID)</t>
  </si>
  <si>
    <t xml:space="preserve">Job</t>
  </si>
  <si>
    <t xml:space="preserve">Customer</t>
  </si>
  <si>
    <t xml:space="preserve">No.</t>
  </si>
  <si>
    <t xml:space="preserve">Cont No.</t>
  </si>
  <si>
    <t xml:space="preserve">Seal No.</t>
  </si>
  <si>
    <t xml:space="preserve">Size</t>
  </si>
  <si>
    <t xml:space="preserve">No. SP</t>
  </si>
  <si>
    <t xml:space="preserve">Trucking</t>
  </si>
  <si>
    <t xml:space="preserve">Biaya Trucking</t>
  </si>
  <si>
    <t xml:space="preserve">In Date</t>
  </si>
  <si>
    <t xml:space="preserve">Out Date</t>
  </si>
  <si>
    <t xml:space="preserve">Notes</t>
  </si>
  <si>
    <t xml:space="preserve">Location</t>
  </si>
  <si>
    <t xml:space="preserve">38/V</t>
  </si>
  <si>
    <t xml:space="preserve">SMART</t>
  </si>
  <si>
    <t xml:space="preserve">EGSU2161037</t>
  </si>
  <si>
    <t xml:space="preserve">EMCWRT0234</t>
  </si>
  <si>
    <t xml:space="preserve">20 STD</t>
  </si>
  <si>
    <t xml:space="preserve">000492/26</t>
  </si>
  <si>
    <t xml:space="preserve">TAS, PT./DAVID</t>
  </si>
  <si>
    <t xml:space="preserve">15-05-2026</t>
  </si>
  <si>
    <t xml:space="preserve">18-05-2026</t>
  </si>
  <si>
    <t xml:space="preserve">KIM</t>
  </si>
  <si>
    <t xml:space="preserve">EGSU2328119</t>
  </si>
  <si>
    <t xml:space="preserve">EMCWRT0244</t>
  </si>
  <si>
    <t xml:space="preserve">000491/26</t>
  </si>
  <si>
    <t xml:space="preserve">EGSU3406622</t>
  </si>
  <si>
    <t xml:space="preserve">EMCWRT0254</t>
  </si>
  <si>
    <t xml:space="preserve">000494/26</t>
  </si>
  <si>
    <t xml:space="preserve">EGSU3623905</t>
  </si>
  <si>
    <t xml:space="preserve">EMCWRT0264</t>
  </si>
  <si>
    <t xml:space="preserve">000493/26</t>
  </si>
  <si>
    <t xml:space="preserve">EGSU2185126</t>
  </si>
  <si>
    <t xml:space="preserve">EMCWRT0274</t>
  </si>
  <si>
    <t xml:space="preserve">000496/26</t>
  </si>
  <si>
    <t xml:space="preserve">EGSU2215642</t>
  </si>
  <si>
    <t xml:space="preserve">EMCWRT0284</t>
  </si>
  <si>
    <t xml:space="preserve">000495/26</t>
  </si>
  <si>
    <t xml:space="preserve">39/V</t>
  </si>
  <si>
    <t xml:space="preserve">SJL</t>
  </si>
  <si>
    <t xml:space="preserve">NSSU0150252</t>
  </si>
  <si>
    <t xml:space="preserve">NS2656854</t>
  </si>
  <si>
    <t xml:space="preserve">000626/26</t>
  </si>
  <si>
    <t xml:space="preserve">H.PERAK</t>
  </si>
  <si>
    <t xml:space="preserve">TEMU5751843</t>
  </si>
  <si>
    <t xml:space="preserve">NS2656801</t>
  </si>
  <si>
    <t xml:space="preserve">000628/26</t>
  </si>
  <si>
    <t xml:space="preserve">16-05-2026</t>
  </si>
  <si>
    <t xml:space="preserve">NSSU0089070</t>
  </si>
  <si>
    <t xml:space="preserve">NS2656859</t>
  </si>
  <si>
    <t xml:space="preserve">000627/26</t>
  </si>
  <si>
    <t xml:space="preserve">NSSU0186321</t>
  </si>
  <si>
    <t xml:space="preserve">NS2656810</t>
  </si>
  <si>
    <t xml:space="preserve">000630/26</t>
  </si>
  <si>
    <t xml:space="preserve">CAIU6946189</t>
  </si>
  <si>
    <t xml:space="preserve">NS2656848</t>
  </si>
  <si>
    <t xml:space="preserve">000629/26</t>
  </si>
  <si>
    <t xml:space="preserve">NSSU0166027</t>
  </si>
  <si>
    <t xml:space="preserve">NS2656819</t>
  </si>
  <si>
    <t xml:space="preserve">000632/26</t>
  </si>
  <si>
    <t xml:space="preserve">SEGU3952272</t>
  </si>
  <si>
    <t xml:space="preserve">NS2656830</t>
  </si>
  <si>
    <t xml:space="preserve">000631/26</t>
  </si>
  <si>
    <t xml:space="preserve">SEKU1399162</t>
  </si>
  <si>
    <t xml:space="preserve">NS2656832</t>
  </si>
  <si>
    <t xml:space="preserve">000634/26</t>
  </si>
  <si>
    <t xml:space="preserve">NSDU2003247</t>
  </si>
  <si>
    <t xml:space="preserve">NS2656874</t>
  </si>
  <si>
    <t xml:space="preserve">000633/26</t>
  </si>
  <si>
    <t xml:space="preserve">LYGU3130021</t>
  </si>
  <si>
    <t xml:space="preserve">NS2656888</t>
  </si>
  <si>
    <t xml:space="preserve">000636/26</t>
  </si>
  <si>
    <t xml:space="preserve">TLLU3203179</t>
  </si>
  <si>
    <t xml:space="preserve">NS2656885</t>
  </si>
  <si>
    <t xml:space="preserve">000635/26</t>
  </si>
  <si>
    <t xml:space="preserve">DYLU2158500</t>
  </si>
  <si>
    <t xml:space="preserve">NS2656872</t>
  </si>
  <si>
    <t xml:space="preserve">000638/26</t>
  </si>
  <si>
    <t xml:space="preserve">43/V</t>
  </si>
  <si>
    <t xml:space="preserve">METROPOLE</t>
  </si>
  <si>
    <t xml:space="preserve">TCLU2341637</t>
  </si>
  <si>
    <t xml:space="preserve">ML-ID1068533</t>
  </si>
  <si>
    <t xml:space="preserve">000558/26</t>
  </si>
  <si>
    <t xml:space="preserve">19-05-2026</t>
  </si>
  <si>
    <t xml:space="preserve">22-05-2026</t>
  </si>
  <si>
    <t xml:space="preserve">PATUMBAK</t>
  </si>
  <si>
    <t xml:space="preserve">44/V</t>
  </si>
  <si>
    <t xml:space="preserve">INAGRIN</t>
  </si>
  <si>
    <t xml:space="preserve">TRHU4259787</t>
  </si>
  <si>
    <t xml:space="preserve">ML-ID1068528</t>
  </si>
  <si>
    <t xml:space="preserve">40 HQ</t>
  </si>
  <si>
    <t xml:space="preserve">000574/26</t>
  </si>
  <si>
    <t xml:space="preserve">20-05-2026</t>
  </si>
  <si>
    <t xml:space="preserve">NAMORAMBE</t>
  </si>
  <si>
    <t xml:space="preserve">TCNU2058136</t>
  </si>
  <si>
    <t xml:space="preserve">ML-ID106529</t>
  </si>
  <si>
    <t xml:space="preserve">000576/26</t>
  </si>
  <si>
    <t xml:space="preserve">BEAU6389670</t>
  </si>
  <si>
    <t xml:space="preserve">ML-ID1068530</t>
  </si>
  <si>
    <t xml:space="preserve">000578/26</t>
  </si>
  <si>
    <t xml:space="preserve">NAMORAMBR</t>
  </si>
  <si>
    <t xml:space="preserve">SUDU5938566</t>
  </si>
  <si>
    <t xml:space="preserve">ML-ID1068521</t>
  </si>
  <si>
    <t xml:space="preserve">000560/26</t>
  </si>
  <si>
    <t xml:space="preserve">MRSU3848368</t>
  </si>
  <si>
    <t xml:space="preserve">ML-ID1068522</t>
  </si>
  <si>
    <t xml:space="preserve">000562/26</t>
  </si>
  <si>
    <t xml:space="preserve">MRKU2807187</t>
  </si>
  <si>
    <t xml:space="preserve">ML-ID1068523</t>
  </si>
  <si>
    <t xml:space="preserve">000564/26</t>
  </si>
  <si>
    <t xml:space="preserve">MSKU9749335</t>
  </si>
  <si>
    <t xml:space="preserve">ML-ID1068524</t>
  </si>
  <si>
    <t xml:space="preserve">000566/26</t>
  </si>
  <si>
    <t xml:space="preserve">TGBU6646190</t>
  </si>
  <si>
    <t xml:space="preserve">ML-ID1068525</t>
  </si>
  <si>
    <t xml:space="preserve">000568/26</t>
  </si>
  <si>
    <t xml:space="preserve">MRSU3207066</t>
  </si>
  <si>
    <t xml:space="preserve">ML-ID1068526</t>
  </si>
  <si>
    <t xml:space="preserve">000570/26</t>
  </si>
  <si>
    <t xml:space="preserve">CAAU5275843</t>
  </si>
  <si>
    <t xml:space="preserve">ML-ID1068527</t>
  </si>
  <si>
    <t xml:space="preserve">000572/26</t>
  </si>
  <si>
    <t xml:space="preserve">TOTAL</t>
  </si>
  <si>
    <t xml:space="preserve">Job 38/V — SMART (SINAR MAS AGRO RESOURCES &amp; TECHNOLOGY TBK)</t>
  </si>
  <si>
    <t xml:space="preserve">Order 0526/038 · QINGDAO / Evergreen "Ever Concert" · Trucking: TAS, PT./DAVID</t>
  </si>
  <si>
    <t xml:space="preserve">Job 39/V — SJL (PT. SUMATERA JAYA LESTARI)</t>
  </si>
  <si>
    <t xml:space="preserve">Order 0526/039 · ULSAN / Namsung "SMA Klang" · Trucking: TAS, PT./DAVID</t>
  </si>
  <si>
    <t xml:space="preserve">Job 43/V — METROPOLE (PT. METROPOLE PURNAMA CITRA)</t>
  </si>
  <si>
    <t xml:space="preserve">Order 0526/043 · DOHA / MCC-Maersk "Green Owl" · Trucking: TAS, PT./DAVID</t>
  </si>
  <si>
    <t xml:space="preserve">Job 44/V — INAGRIN (PT. INDUSTRI AGRIBISNIS INDONESIA)</t>
  </si>
  <si>
    <t xml:space="preserve">Order 0526/044 · GWANGYANG / MCC-Maersk "Hua Xin 678" · Trucking: TAS, PT./DAVID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</si>
</sst>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n">
        <v>1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5" t="n">
        <v>1296250</v>
      </c>
      <c r="J5" s="4" t="s">
        <v>22</v>
      </c>
      <c r="K5" s="4" t="s">
        <v>23</v>
      </c>
      <c r="L5" s="4"/>
      <c r="M5" s="4" t="s">
        <v>24</v>
      </c>
    </row>
    <row r="6" customFormat="false" ht="15" hidden="false" customHeight="false" outlineLevel="0" collapsed="false">
      <c r="A6" s="4" t="s">
        <v>15</v>
      </c>
      <c r="B6" s="4" t="s">
        <v>16</v>
      </c>
      <c r="C6" s="4" t="n">
        <v>2</v>
      </c>
      <c r="D6" s="4" t="s">
        <v>25</v>
      </c>
      <c r="E6" s="4" t="s">
        <v>26</v>
      </c>
      <c r="F6" s="4" t="s">
        <v>19</v>
      </c>
      <c r="G6" s="4" t="s">
        <v>27</v>
      </c>
      <c r="H6" s="4" t="s">
        <v>21</v>
      </c>
      <c r="I6" s="5" t="n">
        <v>0</v>
      </c>
      <c r="J6" s="4" t="s">
        <v>22</v>
      </c>
      <c r="K6" s="4" t="s">
        <v>23</v>
      </c>
      <c r="L6" s="4"/>
      <c r="M6" s="4" t="s">
        <v>24</v>
      </c>
    </row>
    <row r="7" customFormat="false" ht="15" hidden="false" customHeight="false" outlineLevel="0" collapsed="false">
      <c r="A7" s="4" t="s">
        <v>15</v>
      </c>
      <c r="B7" s="4" t="s">
        <v>16</v>
      </c>
      <c r="C7" s="4" t="n">
        <v>3</v>
      </c>
      <c r="D7" s="4" t="s">
        <v>28</v>
      </c>
      <c r="E7" s="4" t="s">
        <v>29</v>
      </c>
      <c r="F7" s="4" t="s">
        <v>19</v>
      </c>
      <c r="G7" s="4" t="s">
        <v>30</v>
      </c>
      <c r="H7" s="4" t="s">
        <v>21</v>
      </c>
      <c r="I7" s="5" t="n">
        <v>1296250</v>
      </c>
      <c r="J7" s="4" t="s">
        <v>22</v>
      </c>
      <c r="K7" s="4" t="s">
        <v>23</v>
      </c>
      <c r="L7" s="4"/>
      <c r="M7" s="4" t="s">
        <v>24</v>
      </c>
    </row>
    <row r="8" customFormat="false" ht="15" hidden="false" customHeight="false" outlineLevel="0" collapsed="false">
      <c r="A8" s="4" t="s">
        <v>15</v>
      </c>
      <c r="B8" s="4" t="s">
        <v>16</v>
      </c>
      <c r="C8" s="4" t="n">
        <v>4</v>
      </c>
      <c r="D8" s="4" t="s">
        <v>31</v>
      </c>
      <c r="E8" s="4" t="s">
        <v>32</v>
      </c>
      <c r="F8" s="4" t="s">
        <v>19</v>
      </c>
      <c r="G8" s="4" t="s">
        <v>33</v>
      </c>
      <c r="H8" s="4" t="s">
        <v>21</v>
      </c>
      <c r="I8" s="5" t="n">
        <v>0</v>
      </c>
      <c r="J8" s="4" t="s">
        <v>22</v>
      </c>
      <c r="K8" s="4" t="s">
        <v>23</v>
      </c>
      <c r="L8" s="4"/>
      <c r="M8" s="4" t="s">
        <v>24</v>
      </c>
    </row>
    <row r="9" customFormat="false" ht="15" hidden="false" customHeight="false" outlineLevel="0" collapsed="false">
      <c r="A9" s="4" t="s">
        <v>15</v>
      </c>
      <c r="B9" s="4" t="s">
        <v>16</v>
      </c>
      <c r="C9" s="4" t="n">
        <v>5</v>
      </c>
      <c r="D9" s="4" t="s">
        <v>34</v>
      </c>
      <c r="E9" s="4" t="s">
        <v>35</v>
      </c>
      <c r="F9" s="4" t="s">
        <v>19</v>
      </c>
      <c r="G9" s="4" t="s">
        <v>36</v>
      </c>
      <c r="H9" s="4" t="s">
        <v>21</v>
      </c>
      <c r="I9" s="5" t="n">
        <v>1296250</v>
      </c>
      <c r="J9" s="4" t="s">
        <v>22</v>
      </c>
      <c r="K9" s="4" t="s">
        <v>23</v>
      </c>
      <c r="L9" s="4"/>
      <c r="M9" s="4" t="s">
        <v>24</v>
      </c>
    </row>
    <row r="10" customFormat="false" ht="15" hidden="false" customHeight="false" outlineLevel="0" collapsed="false">
      <c r="A10" s="4" t="s">
        <v>15</v>
      </c>
      <c r="B10" s="4" t="s">
        <v>16</v>
      </c>
      <c r="C10" s="4" t="n">
        <v>6</v>
      </c>
      <c r="D10" s="4" t="s">
        <v>37</v>
      </c>
      <c r="E10" s="4" t="s">
        <v>38</v>
      </c>
      <c r="F10" s="4" t="s">
        <v>19</v>
      </c>
      <c r="G10" s="4" t="s">
        <v>39</v>
      </c>
      <c r="H10" s="4" t="s">
        <v>21</v>
      </c>
      <c r="I10" s="5" t="n">
        <v>0</v>
      </c>
      <c r="J10" s="4" t="s">
        <v>22</v>
      </c>
      <c r="K10" s="4" t="s">
        <v>23</v>
      </c>
      <c r="L10" s="4"/>
      <c r="M10" s="4" t="s">
        <v>24</v>
      </c>
    </row>
    <row r="11" customFormat="false" ht="15" hidden="false" customHeight="false" outlineLevel="0" collapsed="false">
      <c r="A11" s="4" t="s">
        <v>40</v>
      </c>
      <c r="B11" s="4" t="s">
        <v>41</v>
      </c>
      <c r="C11" s="4" t="n">
        <v>1</v>
      </c>
      <c r="D11" s="4" t="s">
        <v>42</v>
      </c>
      <c r="E11" s="4" t="s">
        <v>43</v>
      </c>
      <c r="F11" s="4" t="s">
        <v>19</v>
      </c>
      <c r="G11" s="4" t="s">
        <v>44</v>
      </c>
      <c r="H11" s="4" t="s">
        <v>21</v>
      </c>
      <c r="I11" s="5" t="n">
        <v>1276250</v>
      </c>
      <c r="J11" s="4" t="s">
        <v>22</v>
      </c>
      <c r="K11" s="4" t="s">
        <v>23</v>
      </c>
      <c r="L11" s="4"/>
      <c r="M11" s="4" t="s">
        <v>45</v>
      </c>
    </row>
    <row r="12" customFormat="false" ht="15" hidden="false" customHeight="false" outlineLevel="0" collapsed="false">
      <c r="A12" s="4" t="s">
        <v>40</v>
      </c>
      <c r="B12" s="4" t="s">
        <v>41</v>
      </c>
      <c r="C12" s="4" t="n">
        <v>2</v>
      </c>
      <c r="D12" s="4" t="s">
        <v>46</v>
      </c>
      <c r="E12" s="4" t="s">
        <v>47</v>
      </c>
      <c r="F12" s="4" t="s">
        <v>19</v>
      </c>
      <c r="G12" s="4" t="s">
        <v>48</v>
      </c>
      <c r="H12" s="4" t="s">
        <v>21</v>
      </c>
      <c r="I12" s="5" t="n">
        <v>2101250</v>
      </c>
      <c r="J12" s="4" t="s">
        <v>49</v>
      </c>
      <c r="K12" s="4" t="s">
        <v>23</v>
      </c>
      <c r="L12" s="4"/>
      <c r="M12" s="4" t="s">
        <v>45</v>
      </c>
    </row>
    <row r="13" customFormat="false" ht="15" hidden="false" customHeight="false" outlineLevel="0" collapsed="false">
      <c r="A13" s="4" t="s">
        <v>40</v>
      </c>
      <c r="B13" s="4" t="s">
        <v>41</v>
      </c>
      <c r="C13" s="4" t="n">
        <v>3</v>
      </c>
      <c r="D13" s="4" t="s">
        <v>50</v>
      </c>
      <c r="E13" s="4" t="s">
        <v>51</v>
      </c>
      <c r="F13" s="4" t="s">
        <v>19</v>
      </c>
      <c r="G13" s="4" t="s">
        <v>52</v>
      </c>
      <c r="H13" s="4" t="s">
        <v>21</v>
      </c>
      <c r="I13" s="5" t="n">
        <v>0</v>
      </c>
      <c r="J13" s="4" t="s">
        <v>49</v>
      </c>
      <c r="K13" s="4" t="s">
        <v>23</v>
      </c>
      <c r="L13" s="4"/>
      <c r="M13" s="4" t="s">
        <v>45</v>
      </c>
    </row>
    <row r="14" customFormat="false" ht="15" hidden="false" customHeight="false" outlineLevel="0" collapsed="false">
      <c r="A14" s="4" t="s">
        <v>40</v>
      </c>
      <c r="B14" s="4" t="s">
        <v>41</v>
      </c>
      <c r="C14" s="4" t="n">
        <v>4</v>
      </c>
      <c r="D14" s="4" t="s">
        <v>53</v>
      </c>
      <c r="E14" s="4" t="s">
        <v>54</v>
      </c>
      <c r="F14" s="4" t="s">
        <v>19</v>
      </c>
      <c r="G14" s="4" t="s">
        <v>55</v>
      </c>
      <c r="H14" s="4" t="s">
        <v>21</v>
      </c>
      <c r="I14" s="5" t="n">
        <v>2101250</v>
      </c>
      <c r="J14" s="4" t="s">
        <v>49</v>
      </c>
      <c r="K14" s="4" t="s">
        <v>23</v>
      </c>
      <c r="L14" s="4"/>
      <c r="M14" s="4" t="s">
        <v>45</v>
      </c>
    </row>
    <row r="15" customFormat="false" ht="15" hidden="false" customHeight="false" outlineLevel="0" collapsed="false">
      <c r="A15" s="4" t="s">
        <v>40</v>
      </c>
      <c r="B15" s="4" t="s">
        <v>41</v>
      </c>
      <c r="C15" s="4" t="n">
        <v>5</v>
      </c>
      <c r="D15" s="4" t="s">
        <v>56</v>
      </c>
      <c r="E15" s="4" t="s">
        <v>57</v>
      </c>
      <c r="F15" s="4" t="s">
        <v>19</v>
      </c>
      <c r="G15" s="4" t="s">
        <v>58</v>
      </c>
      <c r="H15" s="4" t="s">
        <v>21</v>
      </c>
      <c r="I15" s="5" t="n">
        <v>0</v>
      </c>
      <c r="J15" s="4" t="s">
        <v>49</v>
      </c>
      <c r="K15" s="4" t="s">
        <v>23</v>
      </c>
      <c r="L15" s="4"/>
      <c r="M15" s="4" t="s">
        <v>45</v>
      </c>
    </row>
    <row r="16" customFormat="false" ht="15" hidden="false" customHeight="false" outlineLevel="0" collapsed="false">
      <c r="A16" s="4" t="s">
        <v>40</v>
      </c>
      <c r="B16" s="4" t="s">
        <v>41</v>
      </c>
      <c r="C16" s="4" t="n">
        <v>6</v>
      </c>
      <c r="D16" s="4" t="s">
        <v>59</v>
      </c>
      <c r="E16" s="4" t="s">
        <v>60</v>
      </c>
      <c r="F16" s="4" t="s">
        <v>19</v>
      </c>
      <c r="G16" s="4" t="s">
        <v>61</v>
      </c>
      <c r="H16" s="4" t="s">
        <v>21</v>
      </c>
      <c r="I16" s="5" t="n">
        <v>2101250</v>
      </c>
      <c r="J16" s="4" t="s">
        <v>49</v>
      </c>
      <c r="K16" s="4" t="s">
        <v>23</v>
      </c>
      <c r="L16" s="4"/>
      <c r="M16" s="4" t="s">
        <v>45</v>
      </c>
    </row>
    <row r="17" customFormat="false" ht="15" hidden="false" customHeight="false" outlineLevel="0" collapsed="false">
      <c r="A17" s="4" t="s">
        <v>40</v>
      </c>
      <c r="B17" s="4" t="s">
        <v>41</v>
      </c>
      <c r="C17" s="4" t="n">
        <v>7</v>
      </c>
      <c r="D17" s="4" t="s">
        <v>62</v>
      </c>
      <c r="E17" s="4" t="s">
        <v>63</v>
      </c>
      <c r="F17" s="4" t="s">
        <v>19</v>
      </c>
      <c r="G17" s="4" t="s">
        <v>64</v>
      </c>
      <c r="H17" s="4" t="s">
        <v>21</v>
      </c>
      <c r="I17" s="5" t="n">
        <v>0</v>
      </c>
      <c r="J17" s="4" t="s">
        <v>49</v>
      </c>
      <c r="K17" s="4" t="s">
        <v>23</v>
      </c>
      <c r="L17" s="4"/>
      <c r="M17" s="4" t="s">
        <v>45</v>
      </c>
    </row>
    <row r="18" customFormat="false" ht="15" hidden="false" customHeight="false" outlineLevel="0" collapsed="false">
      <c r="A18" s="4" t="s">
        <v>40</v>
      </c>
      <c r="B18" s="4" t="s">
        <v>41</v>
      </c>
      <c r="C18" s="4" t="n">
        <v>8</v>
      </c>
      <c r="D18" s="4" t="s">
        <v>65</v>
      </c>
      <c r="E18" s="4" t="s">
        <v>66</v>
      </c>
      <c r="F18" s="4" t="s">
        <v>19</v>
      </c>
      <c r="G18" s="4" t="s">
        <v>67</v>
      </c>
      <c r="H18" s="4" t="s">
        <v>21</v>
      </c>
      <c r="I18" s="5" t="n">
        <v>2101250</v>
      </c>
      <c r="J18" s="4" t="s">
        <v>49</v>
      </c>
      <c r="K18" s="4" t="s">
        <v>23</v>
      </c>
      <c r="L18" s="4"/>
      <c r="M18" s="4" t="s">
        <v>45</v>
      </c>
    </row>
    <row r="19" customFormat="false" ht="15" hidden="false" customHeight="false" outlineLevel="0" collapsed="false">
      <c r="A19" s="4" t="s">
        <v>40</v>
      </c>
      <c r="B19" s="4" t="s">
        <v>41</v>
      </c>
      <c r="C19" s="4" t="n">
        <v>9</v>
      </c>
      <c r="D19" s="4" t="s">
        <v>68</v>
      </c>
      <c r="E19" s="4" t="s">
        <v>69</v>
      </c>
      <c r="F19" s="4" t="s">
        <v>19</v>
      </c>
      <c r="G19" s="4" t="s">
        <v>70</v>
      </c>
      <c r="H19" s="4" t="s">
        <v>21</v>
      </c>
      <c r="I19" s="5" t="n">
        <v>0</v>
      </c>
      <c r="J19" s="4" t="s">
        <v>49</v>
      </c>
      <c r="K19" s="4" t="s">
        <v>23</v>
      </c>
      <c r="L19" s="4"/>
      <c r="M19" s="4" t="s">
        <v>45</v>
      </c>
    </row>
    <row r="20" customFormat="false" ht="15" hidden="false" customHeight="false" outlineLevel="0" collapsed="false">
      <c r="A20" s="4" t="s">
        <v>40</v>
      </c>
      <c r="B20" s="4" t="s">
        <v>41</v>
      </c>
      <c r="C20" s="4" t="n">
        <v>10</v>
      </c>
      <c r="D20" s="4" t="s">
        <v>71</v>
      </c>
      <c r="E20" s="4" t="s">
        <v>72</v>
      </c>
      <c r="F20" s="4" t="s">
        <v>19</v>
      </c>
      <c r="G20" s="4" t="s">
        <v>73</v>
      </c>
      <c r="H20" s="4" t="s">
        <v>21</v>
      </c>
      <c r="I20" s="5" t="n">
        <v>2101250</v>
      </c>
      <c r="J20" s="4" t="s">
        <v>23</v>
      </c>
      <c r="K20" s="4" t="s">
        <v>23</v>
      </c>
      <c r="L20" s="4"/>
      <c r="M20" s="4" t="s">
        <v>45</v>
      </c>
    </row>
    <row r="21" customFormat="false" ht="15" hidden="false" customHeight="false" outlineLevel="0" collapsed="false">
      <c r="A21" s="4" t="s">
        <v>40</v>
      </c>
      <c r="B21" s="4" t="s">
        <v>41</v>
      </c>
      <c r="C21" s="4" t="n">
        <v>11</v>
      </c>
      <c r="D21" s="4" t="s">
        <v>74</v>
      </c>
      <c r="E21" s="4" t="s">
        <v>75</v>
      </c>
      <c r="F21" s="4" t="s">
        <v>19</v>
      </c>
      <c r="G21" s="4" t="s">
        <v>76</v>
      </c>
      <c r="H21" s="4" t="s">
        <v>21</v>
      </c>
      <c r="I21" s="5" t="n">
        <v>0</v>
      </c>
      <c r="J21" s="4" t="s">
        <v>23</v>
      </c>
      <c r="K21" s="4" t="s">
        <v>23</v>
      </c>
      <c r="L21" s="4"/>
      <c r="M21" s="4" t="s">
        <v>45</v>
      </c>
    </row>
    <row r="22" customFormat="false" ht="15" hidden="false" customHeight="false" outlineLevel="0" collapsed="false">
      <c r="A22" s="4" t="s">
        <v>40</v>
      </c>
      <c r="B22" s="4" t="s">
        <v>41</v>
      </c>
      <c r="C22" s="4" t="n">
        <v>12</v>
      </c>
      <c r="D22" s="4" t="s">
        <v>77</v>
      </c>
      <c r="E22" s="4" t="s">
        <v>78</v>
      </c>
      <c r="F22" s="4" t="s">
        <v>19</v>
      </c>
      <c r="G22" s="4" t="s">
        <v>79</v>
      </c>
      <c r="H22" s="4" t="s">
        <v>21</v>
      </c>
      <c r="I22" s="5" t="n">
        <v>1276250</v>
      </c>
      <c r="J22" s="4" t="s">
        <v>23</v>
      </c>
      <c r="K22" s="4" t="s">
        <v>23</v>
      </c>
      <c r="L22" s="4"/>
      <c r="M22" s="4" t="s">
        <v>45</v>
      </c>
    </row>
    <row r="23" customFormat="false" ht="15" hidden="false" customHeight="false" outlineLevel="0" collapsed="false">
      <c r="A23" s="4" t="s">
        <v>80</v>
      </c>
      <c r="B23" s="4" t="s">
        <v>81</v>
      </c>
      <c r="C23" s="4" t="n">
        <v>1</v>
      </c>
      <c r="D23" s="4" t="s">
        <v>82</v>
      </c>
      <c r="E23" s="4" t="s">
        <v>83</v>
      </c>
      <c r="F23" s="4" t="s">
        <v>19</v>
      </c>
      <c r="G23" s="4" t="s">
        <v>84</v>
      </c>
      <c r="H23" s="4" t="s">
        <v>21</v>
      </c>
      <c r="I23" s="5" t="n">
        <v>1431250</v>
      </c>
      <c r="J23" s="4" t="s">
        <v>85</v>
      </c>
      <c r="K23" s="4" t="s">
        <v>86</v>
      </c>
      <c r="L23" s="4"/>
      <c r="M23" s="4" t="s">
        <v>87</v>
      </c>
    </row>
    <row r="24" customFormat="false" ht="15" hidden="false" customHeight="false" outlineLevel="0" collapsed="false">
      <c r="A24" s="4" t="s">
        <v>88</v>
      </c>
      <c r="B24" s="4" t="s">
        <v>89</v>
      </c>
      <c r="C24" s="4" t="n">
        <v>1</v>
      </c>
      <c r="D24" s="4" t="s">
        <v>90</v>
      </c>
      <c r="E24" s="4" t="s">
        <v>91</v>
      </c>
      <c r="F24" s="4" t="s">
        <v>92</v>
      </c>
      <c r="G24" s="4" t="s">
        <v>93</v>
      </c>
      <c r="H24" s="4" t="s">
        <v>21</v>
      </c>
      <c r="I24" s="5" t="n">
        <v>2002500</v>
      </c>
      <c r="J24" s="4" t="s">
        <v>94</v>
      </c>
      <c r="K24" s="4" t="s">
        <v>86</v>
      </c>
      <c r="L24" s="4"/>
      <c r="M24" s="4" t="s">
        <v>95</v>
      </c>
    </row>
    <row r="25" customFormat="false" ht="15" hidden="false" customHeight="false" outlineLevel="0" collapsed="false">
      <c r="A25" s="4" t="s">
        <v>88</v>
      </c>
      <c r="B25" s="4" t="s">
        <v>89</v>
      </c>
      <c r="C25" s="4" t="n">
        <v>2</v>
      </c>
      <c r="D25" s="4" t="s">
        <v>96</v>
      </c>
      <c r="E25" s="4" t="s">
        <v>97</v>
      </c>
      <c r="F25" s="4" t="s">
        <v>92</v>
      </c>
      <c r="G25" s="4" t="s">
        <v>98</v>
      </c>
      <c r="H25" s="4" t="s">
        <v>21</v>
      </c>
      <c r="I25" s="5" t="n">
        <v>2002500</v>
      </c>
      <c r="J25" s="4" t="s">
        <v>94</v>
      </c>
      <c r="K25" s="4" t="s">
        <v>86</v>
      </c>
      <c r="L25" s="4"/>
      <c r="M25" s="4" t="s">
        <v>95</v>
      </c>
    </row>
    <row r="26" customFormat="false" ht="15" hidden="false" customHeight="false" outlineLevel="0" collapsed="false">
      <c r="A26" s="4" t="s">
        <v>88</v>
      </c>
      <c r="B26" s="4" t="s">
        <v>89</v>
      </c>
      <c r="C26" s="4" t="n">
        <v>3</v>
      </c>
      <c r="D26" s="4" t="s">
        <v>99</v>
      </c>
      <c r="E26" s="4" t="s">
        <v>100</v>
      </c>
      <c r="F26" s="4" t="s">
        <v>92</v>
      </c>
      <c r="G26" s="4" t="s">
        <v>101</v>
      </c>
      <c r="H26" s="4" t="s">
        <v>21</v>
      </c>
      <c r="I26" s="5" t="n">
        <v>2002500</v>
      </c>
      <c r="J26" s="4" t="s">
        <v>94</v>
      </c>
      <c r="K26" s="4" t="s">
        <v>86</v>
      </c>
      <c r="L26" s="4"/>
      <c r="M26" s="4" t="s">
        <v>102</v>
      </c>
    </row>
    <row r="27" customFormat="false" ht="15" hidden="false" customHeight="false" outlineLevel="0" collapsed="false">
      <c r="A27" s="4" t="s">
        <v>88</v>
      </c>
      <c r="B27" s="4" t="s">
        <v>89</v>
      </c>
      <c r="C27" s="4" t="n">
        <v>4</v>
      </c>
      <c r="D27" s="4" t="s">
        <v>103</v>
      </c>
      <c r="E27" s="4" t="s">
        <v>104</v>
      </c>
      <c r="F27" s="4" t="s">
        <v>92</v>
      </c>
      <c r="G27" s="4" t="s">
        <v>105</v>
      </c>
      <c r="H27" s="4" t="s">
        <v>21</v>
      </c>
      <c r="I27" s="5" t="n">
        <v>2002500</v>
      </c>
      <c r="J27" s="4" t="s">
        <v>85</v>
      </c>
      <c r="K27" s="4" t="s">
        <v>86</v>
      </c>
      <c r="L27" s="4"/>
      <c r="M27" s="4" t="s">
        <v>95</v>
      </c>
    </row>
    <row r="28" customFormat="false" ht="15" hidden="false" customHeight="false" outlineLevel="0" collapsed="false">
      <c r="A28" s="4" t="s">
        <v>88</v>
      </c>
      <c r="B28" s="4" t="s">
        <v>89</v>
      </c>
      <c r="C28" s="4" t="n">
        <v>5</v>
      </c>
      <c r="D28" s="4" t="s">
        <v>106</v>
      </c>
      <c r="E28" s="4" t="s">
        <v>107</v>
      </c>
      <c r="F28" s="4" t="s">
        <v>92</v>
      </c>
      <c r="G28" s="4" t="s">
        <v>108</v>
      </c>
      <c r="H28" s="4" t="s">
        <v>21</v>
      </c>
      <c r="I28" s="5" t="n">
        <v>2002500</v>
      </c>
      <c r="J28" s="4" t="s">
        <v>85</v>
      </c>
      <c r="K28" s="4" t="s">
        <v>86</v>
      </c>
      <c r="L28" s="4"/>
      <c r="M28" s="4" t="s">
        <v>95</v>
      </c>
    </row>
    <row r="29" customFormat="false" ht="15" hidden="false" customHeight="false" outlineLevel="0" collapsed="false">
      <c r="A29" s="4" t="s">
        <v>88</v>
      </c>
      <c r="B29" s="4" t="s">
        <v>89</v>
      </c>
      <c r="C29" s="4" t="n">
        <v>6</v>
      </c>
      <c r="D29" s="4" t="s">
        <v>109</v>
      </c>
      <c r="E29" s="4" t="s">
        <v>110</v>
      </c>
      <c r="F29" s="4" t="s">
        <v>92</v>
      </c>
      <c r="G29" s="4" t="s">
        <v>111</v>
      </c>
      <c r="H29" s="4" t="s">
        <v>21</v>
      </c>
      <c r="I29" s="5" t="n">
        <v>2002500</v>
      </c>
      <c r="J29" s="4" t="s">
        <v>85</v>
      </c>
      <c r="K29" s="4" t="s">
        <v>86</v>
      </c>
      <c r="L29" s="4"/>
      <c r="M29" s="4" t="s">
        <v>95</v>
      </c>
    </row>
    <row r="30" customFormat="false" ht="15" hidden="false" customHeight="false" outlineLevel="0" collapsed="false">
      <c r="A30" s="4" t="s">
        <v>88</v>
      </c>
      <c r="B30" s="4" t="s">
        <v>89</v>
      </c>
      <c r="C30" s="4" t="n">
        <v>7</v>
      </c>
      <c r="D30" s="4" t="s">
        <v>112</v>
      </c>
      <c r="E30" s="4" t="s">
        <v>113</v>
      </c>
      <c r="F30" s="4" t="s">
        <v>92</v>
      </c>
      <c r="G30" s="4" t="s">
        <v>114</v>
      </c>
      <c r="H30" s="4" t="s">
        <v>21</v>
      </c>
      <c r="I30" s="5" t="n">
        <v>2002500</v>
      </c>
      <c r="J30" s="4" t="s">
        <v>94</v>
      </c>
      <c r="K30" s="4" t="s">
        <v>86</v>
      </c>
      <c r="L30" s="4"/>
      <c r="M30" s="4" t="s">
        <v>95</v>
      </c>
    </row>
    <row r="31" customFormat="false" ht="15" hidden="false" customHeight="false" outlineLevel="0" collapsed="false">
      <c r="A31" s="4" t="s">
        <v>88</v>
      </c>
      <c r="B31" s="4" t="s">
        <v>89</v>
      </c>
      <c r="C31" s="4" t="n">
        <v>8</v>
      </c>
      <c r="D31" s="4" t="s">
        <v>115</v>
      </c>
      <c r="E31" s="4" t="s">
        <v>116</v>
      </c>
      <c r="F31" s="4" t="s">
        <v>92</v>
      </c>
      <c r="G31" s="4" t="s">
        <v>117</v>
      </c>
      <c r="H31" s="4" t="s">
        <v>21</v>
      </c>
      <c r="I31" s="5" t="n">
        <v>2002500</v>
      </c>
      <c r="J31" s="4" t="s">
        <v>94</v>
      </c>
      <c r="K31" s="4" t="s">
        <v>86</v>
      </c>
      <c r="L31" s="4"/>
      <c r="M31" s="4" t="s">
        <v>95</v>
      </c>
    </row>
    <row r="32" customFormat="false" ht="15" hidden="false" customHeight="false" outlineLevel="0" collapsed="false">
      <c r="A32" s="4" t="s">
        <v>88</v>
      </c>
      <c r="B32" s="4" t="s">
        <v>89</v>
      </c>
      <c r="C32" s="4" t="n">
        <v>9</v>
      </c>
      <c r="D32" s="4" t="s">
        <v>118</v>
      </c>
      <c r="E32" s="4" t="s">
        <v>119</v>
      </c>
      <c r="F32" s="4" t="s">
        <v>92</v>
      </c>
      <c r="G32" s="4" t="s">
        <v>120</v>
      </c>
      <c r="H32" s="4" t="s">
        <v>21</v>
      </c>
      <c r="I32" s="5" t="n">
        <v>2002500</v>
      </c>
      <c r="J32" s="4" t="s">
        <v>94</v>
      </c>
      <c r="K32" s="4" t="s">
        <v>86</v>
      </c>
      <c r="L32" s="4"/>
      <c r="M32" s="4" t="s">
        <v>95</v>
      </c>
    </row>
    <row r="33" customFormat="false" ht="15" hidden="false" customHeight="false" outlineLevel="0" collapsed="false">
      <c r="A33" s="4" t="s">
        <v>88</v>
      </c>
      <c r="B33" s="4" t="s">
        <v>89</v>
      </c>
      <c r="C33" s="4" t="n">
        <v>10</v>
      </c>
      <c r="D33" s="4" t="s">
        <v>121</v>
      </c>
      <c r="E33" s="4" t="s">
        <v>122</v>
      </c>
      <c r="F33" s="4" t="s">
        <v>92</v>
      </c>
      <c r="G33" s="4" t="s">
        <v>123</v>
      </c>
      <c r="H33" s="4" t="s">
        <v>21</v>
      </c>
      <c r="I33" s="5" t="n">
        <v>2002500</v>
      </c>
      <c r="J33" s="4" t="s">
        <v>94</v>
      </c>
      <c r="K33" s="4" t="s">
        <v>86</v>
      </c>
      <c r="L33" s="4"/>
      <c r="M33" s="4" t="s">
        <v>95</v>
      </c>
    </row>
    <row r="34" customFormat="false" ht="15" hidden="false" customHeight="false" outlineLevel="0" collapsed="false">
      <c r="A34" s="6" t="s">
        <v>124</v>
      </c>
      <c r="I34" s="7" t="n">
        <f aca="false">SUM(I5:I33)</f>
        <v>38403750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9" min="8" style="0" width="11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</row>
    <row r="5" customFormat="false" ht="15" hidden="false" customHeight="false" outlineLevel="0" collapsed="false">
      <c r="A5" s="4" t="n">
        <v>1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5" t="n">
        <v>1296250</v>
      </c>
      <c r="H5" s="4" t="s">
        <v>22</v>
      </c>
      <c r="I5" s="4" t="s">
        <v>23</v>
      </c>
      <c r="J5" s="4"/>
      <c r="K5" s="4" t="s">
        <v>24</v>
      </c>
    </row>
    <row r="6" customFormat="false" ht="15" hidden="false" customHeight="false" outlineLevel="0" collapsed="false">
      <c r="A6" s="4" t="n">
        <v>2</v>
      </c>
      <c r="B6" s="4" t="s">
        <v>25</v>
      </c>
      <c r="C6" s="4" t="s">
        <v>26</v>
      </c>
      <c r="D6" s="4" t="s">
        <v>19</v>
      </c>
      <c r="E6" s="4" t="s">
        <v>27</v>
      </c>
      <c r="F6" s="4" t="s">
        <v>21</v>
      </c>
      <c r="G6" s="5" t="n">
        <v>0</v>
      </c>
      <c r="H6" s="4" t="s">
        <v>22</v>
      </c>
      <c r="I6" s="4" t="s">
        <v>23</v>
      </c>
      <c r="J6" s="4"/>
      <c r="K6" s="4" t="s">
        <v>24</v>
      </c>
    </row>
    <row r="7" customFormat="false" ht="15" hidden="false" customHeight="false" outlineLevel="0" collapsed="false">
      <c r="A7" s="4" t="n">
        <v>3</v>
      </c>
      <c r="B7" s="4" t="s">
        <v>28</v>
      </c>
      <c r="C7" s="4" t="s">
        <v>29</v>
      </c>
      <c r="D7" s="4" t="s">
        <v>19</v>
      </c>
      <c r="E7" s="4" t="s">
        <v>30</v>
      </c>
      <c r="F7" s="4" t="s">
        <v>21</v>
      </c>
      <c r="G7" s="5" t="n">
        <v>1296250</v>
      </c>
      <c r="H7" s="4" t="s">
        <v>22</v>
      </c>
      <c r="I7" s="4" t="s">
        <v>23</v>
      </c>
      <c r="J7" s="4"/>
      <c r="K7" s="4" t="s">
        <v>24</v>
      </c>
    </row>
    <row r="8" customFormat="false" ht="15" hidden="false" customHeight="false" outlineLevel="0" collapsed="false">
      <c r="A8" s="4" t="n">
        <v>4</v>
      </c>
      <c r="B8" s="4" t="s">
        <v>31</v>
      </c>
      <c r="C8" s="4" t="s">
        <v>32</v>
      </c>
      <c r="D8" s="4" t="s">
        <v>19</v>
      </c>
      <c r="E8" s="4" t="s">
        <v>33</v>
      </c>
      <c r="F8" s="4" t="s">
        <v>21</v>
      </c>
      <c r="G8" s="5" t="n">
        <v>0</v>
      </c>
      <c r="H8" s="4" t="s">
        <v>22</v>
      </c>
      <c r="I8" s="4" t="s">
        <v>23</v>
      </c>
      <c r="J8" s="4"/>
      <c r="K8" s="4" t="s">
        <v>24</v>
      </c>
    </row>
    <row r="9" customFormat="false" ht="15" hidden="false" customHeight="false" outlineLevel="0" collapsed="false">
      <c r="A9" s="4" t="n">
        <v>5</v>
      </c>
      <c r="B9" s="4" t="s">
        <v>34</v>
      </c>
      <c r="C9" s="4" t="s">
        <v>35</v>
      </c>
      <c r="D9" s="4" t="s">
        <v>19</v>
      </c>
      <c r="E9" s="4" t="s">
        <v>36</v>
      </c>
      <c r="F9" s="4" t="s">
        <v>21</v>
      </c>
      <c r="G9" s="5" t="n">
        <v>1296250</v>
      </c>
      <c r="H9" s="4" t="s">
        <v>22</v>
      </c>
      <c r="I9" s="4" t="s">
        <v>23</v>
      </c>
      <c r="J9" s="4"/>
      <c r="K9" s="4" t="s">
        <v>24</v>
      </c>
    </row>
    <row r="10" customFormat="false" ht="15" hidden="false" customHeight="false" outlineLevel="0" collapsed="false">
      <c r="A10" s="4" t="n">
        <v>6</v>
      </c>
      <c r="B10" s="4" t="s">
        <v>37</v>
      </c>
      <c r="C10" s="4" t="s">
        <v>38</v>
      </c>
      <c r="D10" s="4" t="s">
        <v>19</v>
      </c>
      <c r="E10" s="4" t="s">
        <v>39</v>
      </c>
      <c r="F10" s="4" t="s">
        <v>21</v>
      </c>
      <c r="G10" s="5" t="n">
        <v>0</v>
      </c>
      <c r="H10" s="4" t="s">
        <v>22</v>
      </c>
      <c r="I10" s="4" t="s">
        <v>23</v>
      </c>
      <c r="J10" s="4"/>
      <c r="K10" s="4" t="s">
        <v>24</v>
      </c>
    </row>
    <row r="11" customFormat="false" ht="15" hidden="false" customHeight="false" outlineLevel="0" collapsed="false">
      <c r="A11" s="6" t="s">
        <v>124</v>
      </c>
      <c r="G11" s="7" t="n">
        <f aca="false">SUM(G5:G10)</f>
        <v>3888750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9" min="8" style="0" width="11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15" hidden="false" customHeight="false" outlineLevel="0" collapsed="false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</row>
    <row r="5" customFormat="false" ht="15" hidden="false" customHeight="false" outlineLevel="0" collapsed="false">
      <c r="A5" s="4" t="n">
        <v>1</v>
      </c>
      <c r="B5" s="4" t="s">
        <v>42</v>
      </c>
      <c r="C5" s="4" t="s">
        <v>43</v>
      </c>
      <c r="D5" s="4" t="s">
        <v>19</v>
      </c>
      <c r="E5" s="4" t="s">
        <v>44</v>
      </c>
      <c r="F5" s="4" t="s">
        <v>21</v>
      </c>
      <c r="G5" s="5" t="n">
        <v>1276250</v>
      </c>
      <c r="H5" s="4" t="s">
        <v>22</v>
      </c>
      <c r="I5" s="4" t="s">
        <v>23</v>
      </c>
      <c r="J5" s="4"/>
      <c r="K5" s="4" t="s">
        <v>45</v>
      </c>
    </row>
    <row r="6" customFormat="false" ht="15" hidden="false" customHeight="false" outlineLevel="0" collapsed="false">
      <c r="A6" s="4" t="n">
        <v>2</v>
      </c>
      <c r="B6" s="4" t="s">
        <v>46</v>
      </c>
      <c r="C6" s="4" t="s">
        <v>47</v>
      </c>
      <c r="D6" s="4" t="s">
        <v>19</v>
      </c>
      <c r="E6" s="4" t="s">
        <v>48</v>
      </c>
      <c r="F6" s="4" t="s">
        <v>21</v>
      </c>
      <c r="G6" s="5" t="n">
        <v>2101250</v>
      </c>
      <c r="H6" s="4" t="s">
        <v>49</v>
      </c>
      <c r="I6" s="4" t="s">
        <v>23</v>
      </c>
      <c r="J6" s="4"/>
      <c r="K6" s="4" t="s">
        <v>45</v>
      </c>
    </row>
    <row r="7" customFormat="false" ht="15" hidden="false" customHeight="false" outlineLevel="0" collapsed="false">
      <c r="A7" s="4" t="n">
        <v>3</v>
      </c>
      <c r="B7" s="4" t="s">
        <v>50</v>
      </c>
      <c r="C7" s="4" t="s">
        <v>51</v>
      </c>
      <c r="D7" s="4" t="s">
        <v>19</v>
      </c>
      <c r="E7" s="4" t="s">
        <v>52</v>
      </c>
      <c r="F7" s="4" t="s">
        <v>21</v>
      </c>
      <c r="G7" s="5" t="n">
        <v>0</v>
      </c>
      <c r="H7" s="4" t="s">
        <v>49</v>
      </c>
      <c r="I7" s="4" t="s">
        <v>23</v>
      </c>
      <c r="J7" s="4"/>
      <c r="K7" s="4" t="s">
        <v>45</v>
      </c>
    </row>
    <row r="8" customFormat="false" ht="15" hidden="false" customHeight="false" outlineLevel="0" collapsed="false">
      <c r="A8" s="4" t="n">
        <v>4</v>
      </c>
      <c r="B8" s="4" t="s">
        <v>53</v>
      </c>
      <c r="C8" s="4" t="s">
        <v>54</v>
      </c>
      <c r="D8" s="4" t="s">
        <v>19</v>
      </c>
      <c r="E8" s="4" t="s">
        <v>55</v>
      </c>
      <c r="F8" s="4" t="s">
        <v>21</v>
      </c>
      <c r="G8" s="5" t="n">
        <v>2101250</v>
      </c>
      <c r="H8" s="4" t="s">
        <v>49</v>
      </c>
      <c r="I8" s="4" t="s">
        <v>23</v>
      </c>
      <c r="J8" s="4"/>
      <c r="K8" s="4" t="s">
        <v>45</v>
      </c>
    </row>
    <row r="9" customFormat="false" ht="15" hidden="false" customHeight="false" outlineLevel="0" collapsed="false">
      <c r="A9" s="4" t="n">
        <v>5</v>
      </c>
      <c r="B9" s="4" t="s">
        <v>56</v>
      </c>
      <c r="C9" s="4" t="s">
        <v>57</v>
      </c>
      <c r="D9" s="4" t="s">
        <v>19</v>
      </c>
      <c r="E9" s="4" t="s">
        <v>58</v>
      </c>
      <c r="F9" s="4" t="s">
        <v>21</v>
      </c>
      <c r="G9" s="5" t="n">
        <v>0</v>
      </c>
      <c r="H9" s="4" t="s">
        <v>49</v>
      </c>
      <c r="I9" s="4" t="s">
        <v>23</v>
      </c>
      <c r="J9" s="4"/>
      <c r="K9" s="4" t="s">
        <v>45</v>
      </c>
    </row>
    <row r="10" customFormat="false" ht="15" hidden="false" customHeight="false" outlineLevel="0" collapsed="false">
      <c r="A10" s="4" t="n">
        <v>6</v>
      </c>
      <c r="B10" s="4" t="s">
        <v>59</v>
      </c>
      <c r="C10" s="4" t="s">
        <v>60</v>
      </c>
      <c r="D10" s="4" t="s">
        <v>19</v>
      </c>
      <c r="E10" s="4" t="s">
        <v>61</v>
      </c>
      <c r="F10" s="4" t="s">
        <v>21</v>
      </c>
      <c r="G10" s="5" t="n">
        <v>2101250</v>
      </c>
      <c r="H10" s="4" t="s">
        <v>49</v>
      </c>
      <c r="I10" s="4" t="s">
        <v>23</v>
      </c>
      <c r="J10" s="4"/>
      <c r="K10" s="4" t="s">
        <v>45</v>
      </c>
    </row>
    <row r="11" customFormat="false" ht="15" hidden="false" customHeight="false" outlineLevel="0" collapsed="false">
      <c r="A11" s="4" t="n">
        <v>7</v>
      </c>
      <c r="B11" s="4" t="s">
        <v>62</v>
      </c>
      <c r="C11" s="4" t="s">
        <v>63</v>
      </c>
      <c r="D11" s="4" t="s">
        <v>19</v>
      </c>
      <c r="E11" s="4" t="s">
        <v>64</v>
      </c>
      <c r="F11" s="4" t="s">
        <v>21</v>
      </c>
      <c r="G11" s="5" t="n">
        <v>0</v>
      </c>
      <c r="H11" s="4" t="s">
        <v>49</v>
      </c>
      <c r="I11" s="4" t="s">
        <v>23</v>
      </c>
      <c r="J11" s="4"/>
      <c r="K11" s="4" t="s">
        <v>45</v>
      </c>
    </row>
    <row r="12" customFormat="false" ht="15" hidden="false" customHeight="false" outlineLevel="0" collapsed="false">
      <c r="A12" s="4" t="n">
        <v>8</v>
      </c>
      <c r="B12" s="4" t="s">
        <v>65</v>
      </c>
      <c r="C12" s="4" t="s">
        <v>66</v>
      </c>
      <c r="D12" s="4" t="s">
        <v>19</v>
      </c>
      <c r="E12" s="4" t="s">
        <v>67</v>
      </c>
      <c r="F12" s="4" t="s">
        <v>21</v>
      </c>
      <c r="G12" s="5" t="n">
        <v>2101250</v>
      </c>
      <c r="H12" s="4" t="s">
        <v>49</v>
      </c>
      <c r="I12" s="4" t="s">
        <v>23</v>
      </c>
      <c r="J12" s="4"/>
      <c r="K12" s="4" t="s">
        <v>45</v>
      </c>
    </row>
    <row r="13" customFormat="false" ht="15" hidden="false" customHeight="false" outlineLevel="0" collapsed="false">
      <c r="A13" s="4" t="n">
        <v>9</v>
      </c>
      <c r="B13" s="4" t="s">
        <v>68</v>
      </c>
      <c r="C13" s="4" t="s">
        <v>69</v>
      </c>
      <c r="D13" s="4" t="s">
        <v>19</v>
      </c>
      <c r="E13" s="4" t="s">
        <v>70</v>
      </c>
      <c r="F13" s="4" t="s">
        <v>21</v>
      </c>
      <c r="G13" s="5" t="n">
        <v>0</v>
      </c>
      <c r="H13" s="4" t="s">
        <v>49</v>
      </c>
      <c r="I13" s="4" t="s">
        <v>23</v>
      </c>
      <c r="J13" s="4"/>
      <c r="K13" s="4" t="s">
        <v>45</v>
      </c>
    </row>
    <row r="14" customFormat="false" ht="15" hidden="false" customHeight="false" outlineLevel="0" collapsed="false">
      <c r="A14" s="4" t="n">
        <v>10</v>
      </c>
      <c r="B14" s="4" t="s">
        <v>71</v>
      </c>
      <c r="C14" s="4" t="s">
        <v>72</v>
      </c>
      <c r="D14" s="4" t="s">
        <v>19</v>
      </c>
      <c r="E14" s="4" t="s">
        <v>73</v>
      </c>
      <c r="F14" s="4" t="s">
        <v>21</v>
      </c>
      <c r="G14" s="5" t="n">
        <v>2101250</v>
      </c>
      <c r="H14" s="4" t="s">
        <v>23</v>
      </c>
      <c r="I14" s="4" t="s">
        <v>23</v>
      </c>
      <c r="J14" s="4"/>
      <c r="K14" s="4" t="s">
        <v>45</v>
      </c>
    </row>
    <row r="15" customFormat="false" ht="15" hidden="false" customHeight="false" outlineLevel="0" collapsed="false">
      <c r="A15" s="4" t="n">
        <v>11</v>
      </c>
      <c r="B15" s="4" t="s">
        <v>74</v>
      </c>
      <c r="C15" s="4" t="s">
        <v>75</v>
      </c>
      <c r="D15" s="4" t="s">
        <v>19</v>
      </c>
      <c r="E15" s="4" t="s">
        <v>76</v>
      </c>
      <c r="F15" s="4" t="s">
        <v>21</v>
      </c>
      <c r="G15" s="5" t="n">
        <v>0</v>
      </c>
      <c r="H15" s="4" t="s">
        <v>23</v>
      </c>
      <c r="I15" s="4" t="s">
        <v>23</v>
      </c>
      <c r="J15" s="4"/>
      <c r="K15" s="4" t="s">
        <v>45</v>
      </c>
    </row>
    <row r="16" customFormat="false" ht="15" hidden="false" customHeight="false" outlineLevel="0" collapsed="false">
      <c r="A16" s="4" t="n">
        <v>12</v>
      </c>
      <c r="B16" s="4" t="s">
        <v>77</v>
      </c>
      <c r="C16" s="4" t="s">
        <v>78</v>
      </c>
      <c r="D16" s="4" t="s">
        <v>19</v>
      </c>
      <c r="E16" s="4" t="s">
        <v>79</v>
      </c>
      <c r="F16" s="4" t="s">
        <v>21</v>
      </c>
      <c r="G16" s="5" t="n">
        <v>1276250</v>
      </c>
      <c r="H16" s="4" t="s">
        <v>23</v>
      </c>
      <c r="I16" s="4" t="s">
        <v>23</v>
      </c>
      <c r="J16" s="4"/>
      <c r="K16" s="4" t="s">
        <v>45</v>
      </c>
    </row>
    <row r="17" customFormat="false" ht="15" hidden="false" customHeight="false" outlineLevel="0" collapsed="false">
      <c r="A17" s="6" t="s">
        <v>124</v>
      </c>
      <c r="G17" s="7" t="n">
        <f aca="false">SUM(G5:G16)</f>
        <v>13058750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9" min="8" style="0" width="11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15" hidden="false" customHeight="false" outlineLevel="0" collapsed="false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</row>
    <row r="5" customFormat="false" ht="15" hidden="false" customHeight="false" outlineLevel="0" collapsed="false">
      <c r="A5" s="4" t="n">
        <v>1</v>
      </c>
      <c r="B5" s="4" t="s">
        <v>82</v>
      </c>
      <c r="C5" s="4" t="s">
        <v>83</v>
      </c>
      <c r="D5" s="4" t="s">
        <v>19</v>
      </c>
      <c r="E5" s="4" t="s">
        <v>84</v>
      </c>
      <c r="F5" s="4" t="s">
        <v>21</v>
      </c>
      <c r="G5" s="5" t="n">
        <v>1431250</v>
      </c>
      <c r="H5" s="4" t="s">
        <v>85</v>
      </c>
      <c r="I5" s="4" t="s">
        <v>86</v>
      </c>
      <c r="J5" s="4"/>
      <c r="K5" s="4" t="s">
        <v>87</v>
      </c>
    </row>
    <row r="6" customFormat="false" ht="15" hidden="false" customHeight="false" outlineLevel="0" collapsed="false">
      <c r="A6" s="6" t="s">
        <v>124</v>
      </c>
      <c r="G6" s="7" t="n">
        <f aca="false">SUM(G5)</f>
        <v>1431250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9" min="8" style="0" width="11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</row>
    <row r="5" customFormat="false" ht="15" hidden="false" customHeight="false" outlineLevel="0" collapsed="false">
      <c r="A5" s="4" t="n">
        <v>1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21</v>
      </c>
      <c r="G5" s="5" t="n">
        <v>2002500</v>
      </c>
      <c r="H5" s="4" t="s">
        <v>94</v>
      </c>
      <c r="I5" s="4" t="s">
        <v>86</v>
      </c>
      <c r="J5" s="4"/>
      <c r="K5" s="4" t="s">
        <v>95</v>
      </c>
    </row>
    <row r="6" customFormat="false" ht="15" hidden="false" customHeight="false" outlineLevel="0" collapsed="false">
      <c r="A6" s="4" t="n">
        <v>2</v>
      </c>
      <c r="B6" s="4" t="s">
        <v>96</v>
      </c>
      <c r="C6" s="4" t="s">
        <v>97</v>
      </c>
      <c r="D6" s="4" t="s">
        <v>92</v>
      </c>
      <c r="E6" s="4" t="s">
        <v>98</v>
      </c>
      <c r="F6" s="4" t="s">
        <v>21</v>
      </c>
      <c r="G6" s="5" t="n">
        <v>2002500</v>
      </c>
      <c r="H6" s="4" t="s">
        <v>94</v>
      </c>
      <c r="I6" s="4" t="s">
        <v>86</v>
      </c>
      <c r="J6" s="4"/>
      <c r="K6" s="4" t="s">
        <v>95</v>
      </c>
    </row>
    <row r="7" customFormat="false" ht="15" hidden="false" customHeight="false" outlineLevel="0" collapsed="false">
      <c r="A7" s="4" t="n">
        <v>3</v>
      </c>
      <c r="B7" s="4" t="s">
        <v>99</v>
      </c>
      <c r="C7" s="4" t="s">
        <v>100</v>
      </c>
      <c r="D7" s="4" t="s">
        <v>92</v>
      </c>
      <c r="E7" s="4" t="s">
        <v>101</v>
      </c>
      <c r="F7" s="4" t="s">
        <v>21</v>
      </c>
      <c r="G7" s="5" t="n">
        <v>2002500</v>
      </c>
      <c r="H7" s="4" t="s">
        <v>94</v>
      </c>
      <c r="I7" s="4" t="s">
        <v>86</v>
      </c>
      <c r="J7" s="4"/>
      <c r="K7" s="4" t="s">
        <v>102</v>
      </c>
    </row>
    <row r="8" customFormat="false" ht="15" hidden="false" customHeight="false" outlineLevel="0" collapsed="false">
      <c r="A8" s="4" t="n">
        <v>4</v>
      </c>
      <c r="B8" s="4" t="s">
        <v>103</v>
      </c>
      <c r="C8" s="4" t="s">
        <v>104</v>
      </c>
      <c r="D8" s="4" t="s">
        <v>92</v>
      </c>
      <c r="E8" s="4" t="s">
        <v>105</v>
      </c>
      <c r="F8" s="4" t="s">
        <v>21</v>
      </c>
      <c r="G8" s="5" t="n">
        <v>2002500</v>
      </c>
      <c r="H8" s="4" t="s">
        <v>85</v>
      </c>
      <c r="I8" s="4" t="s">
        <v>86</v>
      </c>
      <c r="J8" s="4"/>
      <c r="K8" s="4" t="s">
        <v>95</v>
      </c>
    </row>
    <row r="9" customFormat="false" ht="15" hidden="false" customHeight="false" outlineLevel="0" collapsed="false">
      <c r="A9" s="4" t="n">
        <v>5</v>
      </c>
      <c r="B9" s="4" t="s">
        <v>106</v>
      </c>
      <c r="C9" s="4" t="s">
        <v>107</v>
      </c>
      <c r="D9" s="4" t="s">
        <v>92</v>
      </c>
      <c r="E9" s="4" t="s">
        <v>108</v>
      </c>
      <c r="F9" s="4" t="s">
        <v>21</v>
      </c>
      <c r="G9" s="5" t="n">
        <v>2002500</v>
      </c>
      <c r="H9" s="4" t="s">
        <v>85</v>
      </c>
      <c r="I9" s="4" t="s">
        <v>86</v>
      </c>
      <c r="J9" s="4"/>
      <c r="K9" s="4" t="s">
        <v>95</v>
      </c>
    </row>
    <row r="10" customFormat="false" ht="15" hidden="false" customHeight="false" outlineLevel="0" collapsed="false">
      <c r="A10" s="4" t="n">
        <v>6</v>
      </c>
      <c r="B10" s="4" t="s">
        <v>109</v>
      </c>
      <c r="C10" s="4" t="s">
        <v>110</v>
      </c>
      <c r="D10" s="4" t="s">
        <v>92</v>
      </c>
      <c r="E10" s="4" t="s">
        <v>111</v>
      </c>
      <c r="F10" s="4" t="s">
        <v>21</v>
      </c>
      <c r="G10" s="5" t="n">
        <v>2002500</v>
      </c>
      <c r="H10" s="4" t="s">
        <v>85</v>
      </c>
      <c r="I10" s="4" t="s">
        <v>86</v>
      </c>
      <c r="J10" s="4"/>
      <c r="K10" s="4" t="s">
        <v>95</v>
      </c>
    </row>
    <row r="11" customFormat="false" ht="15" hidden="false" customHeight="false" outlineLevel="0" collapsed="false">
      <c r="A11" s="4" t="n">
        <v>7</v>
      </c>
      <c r="B11" s="4" t="s">
        <v>112</v>
      </c>
      <c r="C11" s="4" t="s">
        <v>113</v>
      </c>
      <c r="D11" s="4" t="s">
        <v>92</v>
      </c>
      <c r="E11" s="4" t="s">
        <v>114</v>
      </c>
      <c r="F11" s="4" t="s">
        <v>21</v>
      </c>
      <c r="G11" s="5" t="n">
        <v>2002500</v>
      </c>
      <c r="H11" s="4" t="s">
        <v>94</v>
      </c>
      <c r="I11" s="4" t="s">
        <v>86</v>
      </c>
      <c r="J11" s="4"/>
      <c r="K11" s="4" t="s">
        <v>95</v>
      </c>
    </row>
    <row r="12" customFormat="false" ht="15" hidden="false" customHeight="false" outlineLevel="0" collapsed="false">
      <c r="A12" s="4" t="n">
        <v>8</v>
      </c>
      <c r="B12" s="4" t="s">
        <v>115</v>
      </c>
      <c r="C12" s="4" t="s">
        <v>116</v>
      </c>
      <c r="D12" s="4" t="s">
        <v>92</v>
      </c>
      <c r="E12" s="4" t="s">
        <v>117</v>
      </c>
      <c r="F12" s="4" t="s">
        <v>21</v>
      </c>
      <c r="G12" s="5" t="n">
        <v>2002500</v>
      </c>
      <c r="H12" s="4" t="s">
        <v>94</v>
      </c>
      <c r="I12" s="4" t="s">
        <v>86</v>
      </c>
      <c r="J12" s="4"/>
      <c r="K12" s="4" t="s">
        <v>95</v>
      </c>
    </row>
    <row r="13" customFormat="false" ht="15" hidden="false" customHeight="false" outlineLevel="0" collapsed="false">
      <c r="A13" s="4" t="n">
        <v>9</v>
      </c>
      <c r="B13" s="4" t="s">
        <v>118</v>
      </c>
      <c r="C13" s="4" t="s">
        <v>119</v>
      </c>
      <c r="D13" s="4" t="s">
        <v>92</v>
      </c>
      <c r="E13" s="4" t="s">
        <v>120</v>
      </c>
      <c r="F13" s="4" t="s">
        <v>21</v>
      </c>
      <c r="G13" s="5" t="n">
        <v>2002500</v>
      </c>
      <c r="H13" s="4" t="s">
        <v>94</v>
      </c>
      <c r="I13" s="4" t="s">
        <v>86</v>
      </c>
      <c r="J13" s="4"/>
      <c r="K13" s="4" t="s">
        <v>95</v>
      </c>
    </row>
    <row r="14" customFormat="false" ht="15" hidden="false" customHeight="false" outlineLevel="0" collapsed="false">
      <c r="A14" s="4" t="n">
        <v>10</v>
      </c>
      <c r="B14" s="4" t="s">
        <v>121</v>
      </c>
      <c r="C14" s="4" t="s">
        <v>122</v>
      </c>
      <c r="D14" s="4" t="s">
        <v>92</v>
      </c>
      <c r="E14" s="4" t="s">
        <v>123</v>
      </c>
      <c r="F14" s="4" t="s">
        <v>21</v>
      </c>
      <c r="G14" s="5" t="n">
        <v>2002500</v>
      </c>
      <c r="H14" s="4" t="s">
        <v>94</v>
      </c>
      <c r="I14" s="4" t="s">
        <v>86</v>
      </c>
      <c r="J14" s="4"/>
      <c r="K14" s="4" t="s">
        <v>95</v>
      </c>
    </row>
    <row r="15" customFormat="false" ht="15" hidden="false" customHeight="false" outlineLevel="0" collapsed="false">
      <c r="A15" s="6" t="s">
        <v>124</v>
      </c>
      <c r="G15" s="7" t="n">
        <f aca="false">SUM(G5:G14)</f>
        <v>20025000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2026-06-26T05:42:34Z</dcterms:created>
  <dc:creator>openpyxl</dc:creator>
  <dc:description/>
  <dc:language>en-US</dc:language>
  <cp:lastModifiedBy/>
  <dcterms:modified xsi:type="dcterms:W3CDTF">2026-06-26T05:42:34Z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