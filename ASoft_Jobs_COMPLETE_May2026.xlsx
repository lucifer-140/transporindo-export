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Job Headers" sheetId="2" state="visible" r:id="rId4"/>
    <sheet name="Revenue Lines" sheetId="3" state="visible" r:id="rId5"/>
    <sheet name="Supplier Costs" sheetId="4" state="visible" r:id="rId6"/>
    <sheet name="AP Vouchers" sheetId="5" state="visible" r:id="rId7"/>
    <sheet name="GL Journa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<sst xmlns="http://schemas.openxmlformats.org/spreadsheetml/2006/main" count="1756" uniqueCount="337">
  <si>
    <t xml:space="preserve">ASoft — Complete Job Data: 38/V, 39/V, 43/V, 44/V</t>
  </si>
  <si>
    <t xml:space="preserve">Period 0526 (May 2026) · ASoft Transporindo · Source: Data\TAS\202605\Data.Mdb</t>
  </si>
  <si>
    <t xml:space="preserve">Job</t>
  </si>
  <si>
    <t xml:space="preserve">Order No</t>
  </si>
  <si>
    <t xml:space="preserve">Sell Code</t>
  </si>
  <si>
    <t xml:space="preserve">Cust</t>
  </si>
  <si>
    <t xml:space="preserve">Customer</t>
  </si>
  <si>
    <t xml:space="preserve">Destination</t>
  </si>
  <si>
    <t xml:space="preserve">Shipping Line</t>
  </si>
  <si>
    <t xml:space="preserve">Vessel</t>
  </si>
  <si>
    <t xml:space="preserve">Voyage</t>
  </si>
  <si>
    <t xml:space="preserve">Commodity</t>
  </si>
  <si>
    <t xml:space="preserve">Qty</t>
  </si>
  <si>
    <t xml:space="preserve">Sell Date</t>
  </si>
  <si>
    <t xml:space="preserve">Revenue (Rp)</t>
  </si>
  <si>
    <t xml:space="preserve">Supplier Cost (Rp)</t>
  </si>
  <si>
    <t xml:space="preserve">Gross Margin (Rp)</t>
  </si>
  <si>
    <t xml:space="preserve">Margin %</t>
  </si>
  <si>
    <t xml:space="preserve">#Inv Lines</t>
  </si>
  <si>
    <t xml:space="preserve">#AP Lines</t>
  </si>
  <si>
    <t xml:space="preserve">#Vouchers</t>
  </si>
  <si>
    <t xml:space="preserve">#GL Lines</t>
  </si>
  <si>
    <t xml:space="preserve">38/V</t>
  </si>
  <si>
    <t xml:space="preserve">0526/038</t>
  </si>
  <si>
    <t xml:space="preserve">TAS-0526-038</t>
  </si>
  <si>
    <t xml:space="preserve">SMART</t>
  </si>
  <si>
    <t xml:space="preserve">SINAR MAS AGRO RESOURCES AND TECHNOLOGY TBK. (SMART TBK.)</t>
  </si>
  <si>
    <t xml:space="preserve">QINDAO</t>
  </si>
  <si>
    <t xml:space="preserve">EVERGREEN</t>
  </si>
  <si>
    <t xml:space="preserve">EVER CONCERT</t>
  </si>
  <si>
    <t xml:space="preserve">0789-083N</t>
  </si>
  <si>
    <t xml:space="preserve">20 STD x 6;</t>
  </si>
  <si>
    <t xml:space="preserve">28-05-2026</t>
  </si>
  <si>
    <t xml:space="preserve">39/V</t>
  </si>
  <si>
    <t xml:space="preserve">0526/039</t>
  </si>
  <si>
    <t xml:space="preserve">TAS-0526-039</t>
  </si>
  <si>
    <t xml:space="preserve">SJL</t>
  </si>
  <si>
    <t xml:space="preserve">PT. SUMATERA JAYA LESTARI</t>
  </si>
  <si>
    <t xml:space="preserve">ULSAN</t>
  </si>
  <si>
    <t xml:space="preserve">NAMSUNG SHIPPING CO.,LTD.</t>
  </si>
  <si>
    <t xml:space="preserve">SMA KLANG</t>
  </si>
  <si>
    <t xml:space="preserve">6009E</t>
  </si>
  <si>
    <t xml:space="preserve">WOOD PELLET</t>
  </si>
  <si>
    <t xml:space="preserve">20 STD x 12;</t>
  </si>
  <si>
    <t xml:space="preserve">03-06-2026</t>
  </si>
  <si>
    <t xml:space="preserve">43/V</t>
  </si>
  <si>
    <t xml:space="preserve">0526/043</t>
  </si>
  <si>
    <t xml:space="preserve">TAS-0526-043</t>
  </si>
  <si>
    <t xml:space="preserve">MTP</t>
  </si>
  <si>
    <t xml:space="preserve">PT. METROPOLE PURNAMA CITRA</t>
  </si>
  <si>
    <t xml:space="preserve">DOHA</t>
  </si>
  <si>
    <t xml:space="preserve">MCC/MAERSK LINE GROUP</t>
  </si>
  <si>
    <t xml:space="preserve">GREEN OWL</t>
  </si>
  <si>
    <t xml:space="preserve">619N</t>
  </si>
  <si>
    <t xml:space="preserve">FURNITURE</t>
  </si>
  <si>
    <t xml:space="preserve">20 STD x 1;</t>
  </si>
  <si>
    <t xml:space="preserve">44/V</t>
  </si>
  <si>
    <t xml:space="preserve">0526/044</t>
  </si>
  <si>
    <t xml:space="preserve">TAS-0526-044</t>
  </si>
  <si>
    <t xml:space="preserve">INA</t>
  </si>
  <si>
    <t xml:space="preserve">PT.INDUSTRI AGRIBISNIS INDONESIA</t>
  </si>
  <si>
    <t xml:space="preserve">GWANGYANG</t>
  </si>
  <si>
    <t xml:space="preserve">HUA XIN 678</t>
  </si>
  <si>
    <t xml:space="preserve">620N</t>
  </si>
  <si>
    <t xml:space="preserve">WOODCHIP</t>
  </si>
  <si>
    <t xml:space="preserve">40 HQ x 10;</t>
  </si>
  <si>
    <t xml:space="preserve">TOTAL</t>
  </si>
  <si>
    <t xml:space="preserve">Field</t>
  </si>
  <si>
    <t xml:space="preserve">38/V (SMART)</t>
  </si>
  <si>
    <t xml:space="preserve">39/V (SJL)</t>
  </si>
  <si>
    <t xml:space="preserve">43/V (METROPOLE)</t>
  </si>
  <si>
    <t xml:space="preserve">44/V (INAGRIN)</t>
  </si>
  <si>
    <t xml:space="preserve">Invoice</t>
  </si>
  <si>
    <t xml:space="preserve">primary</t>
  </si>
  <si>
    <t xml:space="preserve">2nd</t>
  </si>
  <si>
    <t xml:space="preserve">Sell_Code</t>
  </si>
  <si>
    <t xml:space="preserve">Cust_Code</t>
  </si>
  <si>
    <t xml:space="preserve">Cust_Company</t>
  </si>
  <si>
    <t xml:space="preserve">Cust_Name</t>
  </si>
  <si>
    <t xml:space="preserve">SINAR MAS AGRO RESOURCES AND TECHNOLOGY TBK. (SMAR</t>
  </si>
  <si>
    <t xml:space="preserve">PT.METROPOLE PURNAMA CITRA</t>
  </si>
  <si>
    <t xml:space="preserve">Cust_Address1</t>
  </si>
  <si>
    <t xml:space="preserve">GEDUNG SINAR MAS LAND PLAZA MENARA 2</t>
  </si>
  <si>
    <t xml:space="preserve">JL.DESA PATUMBAK KECAMATAN PATUMBAK</t>
  </si>
  <si>
    <t xml:space="preserve">JL.IR H.JUANDA NO.40 SUKA DAMAI</t>
  </si>
  <si>
    <t xml:space="preserve">Cust_Address2</t>
  </si>
  <si>
    <t xml:space="preserve">LT.2B-30 JL.MH THAMRIN 51, GONDANGDIA,</t>
  </si>
  <si>
    <t xml:space="preserve">DELI SERDANG - 202361</t>
  </si>
  <si>
    <t xml:space="preserve">MEDAN POLONIA KOTA MEDAN SUMUT 20158</t>
  </si>
  <si>
    <t xml:space="preserve">Cust_City</t>
  </si>
  <si>
    <t xml:space="preserve">MENTENG, KOTA ADM.JAKARTA PUSAT, DKI JAKARTA, 1035</t>
  </si>
  <si>
    <t xml:space="preserve">MEDAN</t>
  </si>
  <si>
    <t xml:space="preserve">Cust_Contact</t>
  </si>
  <si>
    <t xml:space="preserve">061-7867681</t>
  </si>
  <si>
    <t xml:space="preserve">Sell_Date</t>
  </si>
  <si>
    <t xml:space="preserve">Quantity</t>
  </si>
  <si>
    <t xml:space="preserve">SL</t>
  </si>
  <si>
    <t xml:space="preserve">V_No</t>
  </si>
  <si>
    <t xml:space="preserve">Feeder</t>
  </si>
  <si>
    <t xml:space="preserve">EVER CONCERT 0789-083N</t>
  </si>
  <si>
    <t xml:space="preserve">SMA KLANG 6009E</t>
  </si>
  <si>
    <t xml:space="preserve">GREEN OWL 619N</t>
  </si>
  <si>
    <t xml:space="preserve">HUA XIN 678 620N</t>
  </si>
  <si>
    <t xml:space="preserve">ETA</t>
  </si>
  <si>
    <t xml:space="preserve">--</t>
  </si>
  <si>
    <t xml:space="preserve">PEB_No</t>
  </si>
  <si>
    <t xml:space="preserve">029170</t>
  </si>
  <si>
    <t xml:space="preserve">030191</t>
  </si>
  <si>
    <t xml:space="preserve">030690</t>
  </si>
  <si>
    <t xml:space="preserve">INV_No</t>
  </si>
  <si>
    <t xml:space="preserve">019/MK SOLAR CO LTD</t>
  </si>
  <si>
    <t xml:space="preserve">047/STUDIO 12 WLL</t>
  </si>
  <si>
    <t xml:space="preserve">007/DAEPYUNG CO LTD</t>
  </si>
  <si>
    <t xml:space="preserve">Order_No</t>
  </si>
  <si>
    <t xml:space="preserve">Container_No</t>
  </si>
  <si>
    <t xml:space="preserve">TCLU2341637
</t>
  </si>
  <si>
    <t xml:space="preserve">Payment_Type</t>
  </si>
  <si>
    <t xml:space="preserve">CREDIT</t>
  </si>
  <si>
    <t xml:space="preserve">Payment_Period</t>
  </si>
  <si>
    <t xml:space="preserve">Commission</t>
  </si>
  <si>
    <t xml:space="preserve">InvF_No</t>
  </si>
  <si>
    <t xml:space="preserve">Inv_No2</t>
  </si>
  <si>
    <t xml:space="preserve">R2605039</t>
  </si>
  <si>
    <t xml:space="preserve">0032/EX/VI/26</t>
  </si>
  <si>
    <t xml:space="preserve">Sell_Tipe</t>
  </si>
  <si>
    <t xml:space="preserve">REIMBURSEMENT</t>
  </si>
  <si>
    <t xml:space="preserve">PAJAK</t>
  </si>
  <si>
    <t xml:space="preserve">Description</t>
  </si>
  <si>
    <t xml:space="preserve">Unit Price (Rp)</t>
  </si>
  <si>
    <t xml:space="preserve">Amount (Rp)</t>
  </si>
  <si>
    <t xml:space="preserve">EMKL FEE 6 x 20 STD LOCATION KIM</t>
  </si>
  <si>
    <t xml:space="preserve">EMKL FEE 12 X 20 LOKASI HAMPARAN PERAK</t>
  </si>
  <si>
    <t xml:space="preserve">BIAYA LIFT ON DEPO</t>
  </si>
  <si>
    <t xml:space="preserve">BIAYA LIFT OFF PELINDO</t>
  </si>
  <si>
    <t xml:space="preserve">BIAYA EPASS PELINDO</t>
  </si>
  <si>
    <t xml:space="preserve">LIFT ON</t>
  </si>
  <si>
    <t xml:space="preserve">LIFT OFF</t>
  </si>
  <si>
    <t xml:space="preserve">FREIGHT CHARGES</t>
  </si>
  <si>
    <t xml:space="preserve">FREIGHT CHARGES (JASA PENGURUSAN DOKUMEN LAINNYA)</t>
  </si>
  <si>
    <t xml:space="preserve">ADM FEE</t>
  </si>
  <si>
    <t xml:space="preserve">METROPOLE</t>
  </si>
  <si>
    <t xml:space="preserve">EMKL FEE 1 x 20 STD LOCATION PATUMBAK</t>
  </si>
  <si>
    <t xml:space="preserve">INAGRIN</t>
  </si>
  <si>
    <t xml:space="preserve">EMKL FEE 9 x 40 HQ LOCATION NAMORAMBE</t>
  </si>
  <si>
    <t xml:space="preserve">EMKL FEE 1 x 40 HQ LOCATION NAMORAMBR</t>
  </si>
  <si>
    <t xml:space="preserve">AP Voucher</t>
  </si>
  <si>
    <t xml:space="preserve">Charge Code</t>
  </si>
  <si>
    <t xml:space="preserve">Date</t>
  </si>
  <si>
    <t xml:space="preserve">Account Code</t>
  </si>
  <si>
    <t xml:space="preserve">Account Name</t>
  </si>
  <si>
    <t xml:space="preserve">Supplier</t>
  </si>
  <si>
    <t xml:space="preserve">Cost Item</t>
  </si>
  <si>
    <t xml:space="preserve">Pay Days</t>
  </si>
  <si>
    <t xml:space="preserve">LK26050107C</t>
  </si>
  <si>
    <t xml:space="preserve">BL.38V/26OC</t>
  </si>
  <si>
    <t xml:space="preserve">18-05-2026</t>
  </si>
  <si>
    <t xml:space="preserve">1101.0299</t>
  </si>
  <si>
    <t xml:space="preserve">H/DOKUMEN LAINNYA</t>
  </si>
  <si>
    <t xml:space="preserve">BIAYA LAIN</t>
  </si>
  <si>
    <t xml:space="preserve">O CHASIS 3</t>
  </si>
  <si>
    <t xml:space="preserve">KK26050416</t>
  </si>
  <si>
    <t xml:space="preserve">BL.38V/26AMP</t>
  </si>
  <si>
    <t xml:space="preserve">21-05-2026</t>
  </si>
  <si>
    <t xml:space="preserve">AMPRAH TGL15/05</t>
  </si>
  <si>
    <t xml:space="preserve">LK26050108C</t>
  </si>
  <si>
    <t xml:space="preserve">BL.38V/26UMF</t>
  </si>
  <si>
    <t xml:space="preserve">19-05-2026</t>
  </si>
  <si>
    <t xml:space="preserve">FULL PANE</t>
  </si>
  <si>
    <t xml:space="preserve">BL.38V/26UME</t>
  </si>
  <si>
    <t xml:space="preserve">EMPTY SUPIR 3</t>
  </si>
  <si>
    <t xml:space="preserve">BL.38V/26UTF</t>
  </si>
  <si>
    <t xml:space="preserve">FULL SUPIR 3</t>
  </si>
  <si>
    <t xml:space="preserve">LK26050104A</t>
  </si>
  <si>
    <t xml:space="preserve">N.38V/26</t>
  </si>
  <si>
    <t xml:space="preserve">13-05-2026</t>
  </si>
  <si>
    <t xml:space="preserve">1101.0205</t>
  </si>
  <si>
    <t xml:space="preserve">H/DOKUMEN LIFT ON</t>
  </si>
  <si>
    <t xml:space="preserve">6X20</t>
  </si>
  <si>
    <t xml:space="preserve">LK26050104C</t>
  </si>
  <si>
    <t xml:space="preserve">BL.38V/26ADMN</t>
  </si>
  <si>
    <t xml:space="preserve">ADMON</t>
  </si>
  <si>
    <t xml:space="preserve">BL.38IV/26DO</t>
  </si>
  <si>
    <t xml:space="preserve">DO</t>
  </si>
  <si>
    <t xml:space="preserve">LK26050105A</t>
  </si>
  <si>
    <t xml:space="preserve">F.38V/26</t>
  </si>
  <si>
    <t xml:space="preserve">15-05-2026</t>
  </si>
  <si>
    <t xml:space="preserve">1101.0206</t>
  </si>
  <si>
    <t xml:space="preserve">H/DOKUMEN LIFT OFF</t>
  </si>
  <si>
    <t xml:space="preserve">LK26050105B</t>
  </si>
  <si>
    <t xml:space="preserve">BL.38V/26VGM</t>
  </si>
  <si>
    <t xml:space="preserve">VGM</t>
  </si>
  <si>
    <t xml:space="preserve">BL.38V/26OPR</t>
  </si>
  <si>
    <t xml:space="preserve">OPTR+TALLY</t>
  </si>
  <si>
    <t xml:space="preserve">BL.38V/26ADMF</t>
  </si>
  <si>
    <t xml:space="preserve">ADMOFF</t>
  </si>
  <si>
    <t xml:space="preserve">KK26050434</t>
  </si>
  <si>
    <t xml:space="preserve">BL.38V/26AMPA</t>
  </si>
  <si>
    <t xml:space="preserve">29-05-2026</t>
  </si>
  <si>
    <t xml:space="preserve">AMPRAH PIL</t>
  </si>
  <si>
    <t xml:space="preserve">BL.39V/26OC</t>
  </si>
  <si>
    <t xml:space="preserve">O CHASIS 5</t>
  </si>
  <si>
    <t xml:space="preserve">KK26050421B</t>
  </si>
  <si>
    <t xml:space="preserve">BL.39V/26FC</t>
  </si>
  <si>
    <t xml:space="preserve">20-05-2026</t>
  </si>
  <si>
    <t xml:space="preserve">FC</t>
  </si>
  <si>
    <t xml:space="preserve">KK26050421A</t>
  </si>
  <si>
    <t xml:space="preserve">PEB.39V/26</t>
  </si>
  <si>
    <t xml:space="preserve">1101.0207</t>
  </si>
  <si>
    <t xml:space="preserve">H/DOKUMEN PEB+PE</t>
  </si>
  <si>
    <t xml:space="preserve">PEB</t>
  </si>
  <si>
    <t xml:space="preserve">12X20</t>
  </si>
  <si>
    <t xml:space="preserve">N.39V/26</t>
  </si>
  <si>
    <t xml:space="preserve">LK26050104B</t>
  </si>
  <si>
    <t xml:space="preserve">F.39V/26</t>
  </si>
  <si>
    <t xml:space="preserve">BL.39V/26ADMN</t>
  </si>
  <si>
    <t xml:space="preserve">BL.39V/26ADMF</t>
  </si>
  <si>
    <t xml:space="preserve">BL.39V/26DO</t>
  </si>
  <si>
    <t xml:space="preserve">BL.39V/26NPE</t>
  </si>
  <si>
    <t xml:space="preserve">NPE</t>
  </si>
  <si>
    <t xml:space="preserve">BL.39V/26VGM</t>
  </si>
  <si>
    <t xml:space="preserve">LK26050106C</t>
  </si>
  <si>
    <t xml:space="preserve">BL.39V/26OPR</t>
  </si>
  <si>
    <t xml:space="preserve">16-05-2026</t>
  </si>
  <si>
    <t xml:space="preserve">OPRT+TALLY</t>
  </si>
  <si>
    <t xml:space="preserve">LK26050110D</t>
  </si>
  <si>
    <t xml:space="preserve">BL.43V/26OPR</t>
  </si>
  <si>
    <t xml:space="preserve">OPTR+ATLLY</t>
  </si>
  <si>
    <t xml:space="preserve">LK26050111B</t>
  </si>
  <si>
    <t xml:space="preserve">BL.43V/26VGM</t>
  </si>
  <si>
    <t xml:space="preserve">22-05-2026</t>
  </si>
  <si>
    <t xml:space="preserve">BL.43V/26NPE</t>
  </si>
  <si>
    <t xml:space="preserve">KK26050430A</t>
  </si>
  <si>
    <t xml:space="preserve">PG.43V/26VL</t>
  </si>
  <si>
    <t xml:space="preserve">25-05-2026</t>
  </si>
  <si>
    <t xml:space="preserve">PIUTANG</t>
  </si>
  <si>
    <t xml:space="preserve">VL MTP 047</t>
  </si>
  <si>
    <t xml:space="preserve">LK26050111A</t>
  </si>
  <si>
    <t xml:space="preserve">F.43V/26</t>
  </si>
  <si>
    <t xml:space="preserve">1X20</t>
  </si>
  <si>
    <t xml:space="preserve">BL.43V/26ADMF</t>
  </si>
  <si>
    <t xml:space="preserve">LK26050106A</t>
  </si>
  <si>
    <t xml:space="preserve">N.43V/26</t>
  </si>
  <si>
    <t xml:space="preserve">BL.43V/26AMP</t>
  </si>
  <si>
    <t xml:space="preserve">AMMPRAH</t>
  </si>
  <si>
    <t xml:space="preserve">BL.43V/26ADMN</t>
  </si>
  <si>
    <t xml:space="preserve">LK26050109C</t>
  </si>
  <si>
    <t xml:space="preserve">BL.44V/26OPR</t>
  </si>
  <si>
    <t xml:space="preserve">OPTR+TALLY DEPO</t>
  </si>
  <si>
    <t xml:space="preserve">BL.44V/26MNO</t>
  </si>
  <si>
    <t xml:space="preserve">MINTA NO</t>
  </si>
  <si>
    <t xml:space="preserve">BL.44V/26UMS</t>
  </si>
  <si>
    <t xml:space="preserve">U MKN SUPIR 10</t>
  </si>
  <si>
    <t xml:space="preserve">N.44V/26</t>
  </si>
  <si>
    <t xml:space="preserve">10X40</t>
  </si>
  <si>
    <t xml:space="preserve">LK26050106B</t>
  </si>
  <si>
    <t xml:space="preserve">F.44V/26</t>
  </si>
  <si>
    <t xml:space="preserve">BL.44V/26ADMF</t>
  </si>
  <si>
    <t xml:space="preserve">BL.44V/26ADMN</t>
  </si>
  <si>
    <t xml:space="preserve">BL.44V/26VGM</t>
  </si>
  <si>
    <t xml:space="preserve">Voucher (Trans_Code)</t>
  </si>
  <si>
    <t xml:space="preserve">Type</t>
  </si>
  <si>
    <t xml:space="preserve">Balance/Saldo (Rp)</t>
  </si>
  <si>
    <t xml:space="preserve">Status</t>
  </si>
  <si>
    <t xml:space="preserve">AP</t>
  </si>
  <si>
    <t xml:space="preserve">23-05-2026</t>
  </si>
  <si>
    <t xml:space="preserve">Trans Code</t>
  </si>
  <si>
    <t xml:space="preserve">Debit (Rp)</t>
  </si>
  <si>
    <t xml:space="preserve">Credit (Rp)</t>
  </si>
  <si>
    <t xml:space="preserve">TRAN/PG.38V/26BURUH</t>
  </si>
  <si>
    <t xml:space="preserve">UMM</t>
  </si>
  <si>
    <t xml:space="preserve">3101.0005</t>
  </si>
  <si>
    <t xml:space="preserve">BIAYA LAPANGAN LAIN-LAIN</t>
  </si>
  <si>
    <t xml:space="preserve">TRAN/BL.38V/26OC</t>
  </si>
  <si>
    <t xml:space="preserve">TRAN/BL.38V/26AMP</t>
  </si>
  <si>
    <t xml:space="preserve">TRAN/BL.38V/26UMF</t>
  </si>
  <si>
    <t xml:space="preserve">TRAN/BL.38V/26UME</t>
  </si>
  <si>
    <t xml:space="preserve">TRAN/BL.38V/26UTF</t>
  </si>
  <si>
    <t xml:space="preserve">TRAN/N.38V/26</t>
  </si>
  <si>
    <t xml:space="preserve">3101.0002</t>
  </si>
  <si>
    <t xml:space="preserve">BIAYA LIFT ON</t>
  </si>
  <si>
    <t xml:space="preserve">TRAN/BL.38V/26ADMN</t>
  </si>
  <si>
    <t xml:space="preserve">TRAN/0526/038</t>
  </si>
  <si>
    <t xml:space="preserve">3101.0001</t>
  </si>
  <si>
    <t xml:space="preserve">BIAYA TRUCKING</t>
  </si>
  <si>
    <t xml:space="preserve">1101.0104</t>
  </si>
  <si>
    <t xml:space="preserve">H/TRUCKING TAS D</t>
  </si>
  <si>
    <t xml:space="preserve">TRAN/F.38V/26</t>
  </si>
  <si>
    <t xml:space="preserve">3101.0003</t>
  </si>
  <si>
    <t xml:space="preserve">BIAYA LIFT OFF</t>
  </si>
  <si>
    <t xml:space="preserve">TRAN/BL.38V/26ADMF</t>
  </si>
  <si>
    <t xml:space="preserve">TRAN/BL.38V/26VGM</t>
  </si>
  <si>
    <t xml:space="preserve">TRAN/BL.38V/26OPR</t>
  </si>
  <si>
    <t xml:space="preserve">TRAN/BL.38V/26AMPA</t>
  </si>
  <si>
    <t xml:space="preserve">TRAN/BL.39V/26FC</t>
  </si>
  <si>
    <t xml:space="preserve">TRAN/PEB.39V/26</t>
  </si>
  <si>
    <t xml:space="preserve">3101.0106</t>
  </si>
  <si>
    <t xml:space="preserve">BIAYA DOKUMEN PEB</t>
  </si>
  <si>
    <t xml:space="preserve">TRAN/BL.39V/26OC</t>
  </si>
  <si>
    <t xml:space="preserve">TRAN/F.39V/26</t>
  </si>
  <si>
    <t xml:space="preserve">TRAN/BL.39V/26ADMF</t>
  </si>
  <si>
    <t xml:space="preserve">TRAN/N.39V/26</t>
  </si>
  <si>
    <t xml:space="preserve">TRAN/BL.39V/26ADMN</t>
  </si>
  <si>
    <t xml:space="preserve">TRAN/BL.39V/26DO</t>
  </si>
  <si>
    <t xml:space="preserve">TRAN/BL.39V/26NPE</t>
  </si>
  <si>
    <t xml:space="preserve">TRAN/BL.39V/26VGM</t>
  </si>
  <si>
    <t xml:space="preserve">TRAN/0526/039</t>
  </si>
  <si>
    <t xml:space="preserve">TRAN/BL.39V/26OPR</t>
  </si>
  <si>
    <t xml:space="preserve">TRAN/0526/043</t>
  </si>
  <si>
    <t xml:space="preserve">TRAN/PG.43V/26VL</t>
  </si>
  <si>
    <t xml:space="preserve">TRAN/BL.43V/26OPR</t>
  </si>
  <si>
    <t xml:space="preserve">TRAN/BL.43V/26ADMN</t>
  </si>
  <si>
    <t xml:space="preserve">TRAN/N.43V/26</t>
  </si>
  <si>
    <t xml:space="preserve">TRAN/BL.43V/26AMP</t>
  </si>
  <si>
    <t xml:space="preserve">TRAN/PEB.43V/26</t>
  </si>
  <si>
    <t xml:space="preserve">TRAN/F.43V/26</t>
  </si>
  <si>
    <t xml:space="preserve">TRAN/BL.43V/26ADMF</t>
  </si>
  <si>
    <t xml:space="preserve">TRAN/BL.43V/26VGM</t>
  </si>
  <si>
    <t xml:space="preserve">TRAN/BL.43V/26NPE</t>
  </si>
  <si>
    <t xml:space="preserve">TRAN/PEB.43V/26BCF</t>
  </si>
  <si>
    <t xml:space="preserve">30-05-2026</t>
  </si>
  <si>
    <t xml:space="preserve">TRAN/BL.44V/26OPR</t>
  </si>
  <si>
    <t xml:space="preserve">TRAN/0526/044</t>
  </si>
  <si>
    <t xml:space="preserve">TRAN/BL.44V/26MNO</t>
  </si>
  <si>
    <t xml:space="preserve">TRAN/BL.44V/26UMS</t>
  </si>
  <si>
    <t xml:space="preserve">TRAN/BL.44V/26ADMN</t>
  </si>
  <si>
    <t xml:space="preserve">TRAN/N.44V/26</t>
  </si>
  <si>
    <t xml:space="preserve">TRAN/BL.44V/26VGM</t>
  </si>
  <si>
    <t xml:space="preserve">TRAN/F.44V/26</t>
  </si>
  <si>
    <t xml:space="preserve">TRAN/BL.44V/26ADMF</t>
  </si>
  <si>
    <t xml:space="preserve">TRAN/PEB.44V/26AJU</t>
  </si>
  <si>
    <t xml:space="preserve">TRAN/BL.44V/26PMRK</t>
  </si>
  <si>
    <t xml:space="preserve">TRAN/BL.44V/26UMBC</t>
  </si>
  <si>
    <t xml:space="preserve">TRAN/BL.44V/26PRN</t>
  </si>
  <si>
    <t xml:space="preserve">TRAN/BL.44V/26TRS</t>
  </si>
  <si>
    <t xml:space="preserve">TRAN/PEB.44V/26</t>
  </si>
  <si>
    <t xml:space="preserve">26-05-2026</t>
  </si>
  <si>
    <t xml:space="preserve">TRAN/BL.44V/26FC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</si>
</sst>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"/>
    <numFmt numFmtId="167" formatCode="#,##0.##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38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15"/>
    <col collapsed="false" customWidth="true" hidden="false" outlineLevel="0" max="9" min="9" style="0" width="8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5" min="13" style="0" width="15"/>
    <col collapsed="false" customWidth="true" hidden="false" outlineLevel="0" max="18" min="16" style="0" width="8"/>
    <col collapsed="false" customWidth="true" hidden="false" outlineLevel="0" max="20" min="19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</row>
    <row r="5" customFormat="false" ht="15" hidden="false" customHeight="false" outlineLevel="0" collapsed="false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/>
      <c r="K5" s="4" t="s">
        <v>31</v>
      </c>
      <c r="L5" s="4" t="s">
        <v>32</v>
      </c>
      <c r="M5" s="5" t="n">
        <v>23332500</v>
      </c>
      <c r="N5" s="5" t="n">
        <v>5911000</v>
      </c>
      <c r="O5" s="6" t="n">
        <f aca="false">M5-N5</f>
        <v>17421500</v>
      </c>
      <c r="P5" s="7" t="n">
        <f aca="false">IF(M5=0,0,O5/M5)</f>
        <v>0.746662380799314</v>
      </c>
      <c r="Q5" s="8" t="n">
        <v>1</v>
      </c>
      <c r="R5" s="8" t="n">
        <v>13</v>
      </c>
      <c r="S5" s="8" t="n">
        <v>8</v>
      </c>
      <c r="T5" s="8" t="n">
        <v>38</v>
      </c>
    </row>
    <row r="6" customFormat="false" ht="15" hidden="false" customHeight="false" outlineLevel="0" collapsed="false">
      <c r="A6" s="4" t="s">
        <v>33</v>
      </c>
      <c r="B6" s="4" t="s">
        <v>34</v>
      </c>
      <c r="C6" s="4" t="s">
        <v>35</v>
      </c>
      <c r="D6" s="4" t="s">
        <v>36</v>
      </c>
      <c r="E6" s="4" t="s">
        <v>37</v>
      </c>
      <c r="F6" s="4" t="s">
        <v>38</v>
      </c>
      <c r="G6" s="4" t="s">
        <v>39</v>
      </c>
      <c r="H6" s="4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5" t="n">
        <v>56608000</v>
      </c>
      <c r="N6" s="5" t="n">
        <v>10215000</v>
      </c>
      <c r="O6" s="6" t="n">
        <f aca="false">M6-N6</f>
        <v>46393000</v>
      </c>
      <c r="P6" s="7" t="n">
        <f aca="false">IF(M6=0,0,O6/M6)</f>
        <v>0.819548473713963</v>
      </c>
      <c r="Q6" s="8" t="n">
        <v>9</v>
      </c>
      <c r="R6" s="8" t="n">
        <v>11</v>
      </c>
      <c r="S6" s="8" t="n">
        <v>7</v>
      </c>
      <c r="T6" s="8" t="n">
        <v>46</v>
      </c>
    </row>
    <row r="7" customFormat="false" ht="15" hidden="false" customHeight="false" outlineLevel="0" collapsed="false">
      <c r="A7" s="4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4" t="s">
        <v>54</v>
      </c>
      <c r="K7" s="4" t="s">
        <v>55</v>
      </c>
      <c r="L7" s="4" t="s">
        <v>32</v>
      </c>
      <c r="M7" s="5" t="n">
        <v>1431250</v>
      </c>
      <c r="N7" s="5" t="n">
        <v>1304400</v>
      </c>
      <c r="O7" s="6" t="n">
        <f aca="false">M7-N7</f>
        <v>126850</v>
      </c>
      <c r="P7" s="7" t="n">
        <f aca="false">IF(M7=0,0,O7/M7)</f>
        <v>0.0886288209606987</v>
      </c>
      <c r="Q7" s="8" t="n">
        <v>1</v>
      </c>
      <c r="R7" s="8" t="n">
        <v>9</v>
      </c>
      <c r="S7" s="8" t="n">
        <v>7</v>
      </c>
      <c r="T7" s="8" t="n">
        <v>24</v>
      </c>
    </row>
    <row r="8" customFormat="false" ht="15" hidden="false" customHeight="false" outlineLevel="0" collapsed="false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4" t="s">
        <v>51</v>
      </c>
      <c r="H8" s="4" t="s">
        <v>62</v>
      </c>
      <c r="I8" s="4" t="s">
        <v>63</v>
      </c>
      <c r="J8" s="4" t="s">
        <v>64</v>
      </c>
      <c r="K8" s="4" t="s">
        <v>65</v>
      </c>
      <c r="L8" s="4" t="s">
        <v>32</v>
      </c>
      <c r="M8" s="5" t="n">
        <v>164205000</v>
      </c>
      <c r="N8" s="5" t="n">
        <v>14907000</v>
      </c>
      <c r="O8" s="6" t="n">
        <f aca="false">M8-N8</f>
        <v>149298000</v>
      </c>
      <c r="P8" s="7" t="n">
        <f aca="false">IF(M8=0,0,O8/M8)</f>
        <v>0.909217137115191</v>
      </c>
      <c r="Q8" s="8" t="n">
        <v>2</v>
      </c>
      <c r="R8" s="8" t="n">
        <v>8</v>
      </c>
      <c r="S8" s="8" t="n">
        <v>6</v>
      </c>
      <c r="T8" s="8" t="n">
        <v>50</v>
      </c>
    </row>
    <row r="9" customFormat="false" ht="15" hidden="false" customHeight="false" outlineLevel="0" collapsed="false">
      <c r="A9" s="9" t="s">
        <v>66</v>
      </c>
      <c r="M9" s="10" t="n">
        <f aca="false">SUM(M5:M8)</f>
        <v>245576750</v>
      </c>
      <c r="N9" s="10" t="n">
        <f aca="false">SUM(N5:N8)</f>
        <v>32337400</v>
      </c>
      <c r="O9" s="10" t="n">
        <f aca="false">SUM(O5:O8)</f>
        <v>213239350</v>
      </c>
      <c r="P9" s="11" t="n">
        <f aca="false">IF(M9=0,0,O9/M9)</f>
        <v>0.868320596310522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32"/>
  </cols>
  <sheetData>
    <row r="1" customFormat="false" ht="15" hidden="false" customHeight="false" outlineLevel="0" collapsed="false">
      <c r="A1" s="3" t="s">
        <v>67</v>
      </c>
      <c r="B1" s="3" t="s">
        <v>68</v>
      </c>
      <c r="C1" s="3" t="s">
        <v>69</v>
      </c>
      <c r="D1" s="3" t="s">
        <v>69</v>
      </c>
      <c r="E1" s="3" t="s">
        <v>69</v>
      </c>
      <c r="F1" s="3" t="s">
        <v>70</v>
      </c>
      <c r="G1" s="3" t="s">
        <v>71</v>
      </c>
    </row>
    <row r="2" customFormat="false" ht="15" hidden="false" customHeight="false" outlineLevel="0" collapsed="false">
      <c r="A2" s="12" t="s">
        <v>72</v>
      </c>
      <c r="B2" s="13" t="s">
        <v>73</v>
      </c>
      <c r="C2" s="13" t="s">
        <v>73</v>
      </c>
      <c r="D2" s="13" t="s">
        <v>74</v>
      </c>
      <c r="E2" s="13" t="s">
        <v>74</v>
      </c>
      <c r="F2" s="13" t="s">
        <v>73</v>
      </c>
      <c r="G2" s="13" t="s">
        <v>73</v>
      </c>
    </row>
    <row r="3" customFormat="false" ht="15" hidden="false" customHeight="false" outlineLevel="0" collapsed="false">
      <c r="A3" s="12" t="s">
        <v>75</v>
      </c>
      <c r="B3" s="13" t="s">
        <v>24</v>
      </c>
      <c r="C3" s="13" t="s">
        <v>35</v>
      </c>
      <c r="D3" s="13" t="s">
        <v>35</v>
      </c>
      <c r="E3" s="13" t="s">
        <v>35</v>
      </c>
      <c r="F3" s="13" t="s">
        <v>47</v>
      </c>
      <c r="G3" s="13" t="s">
        <v>58</v>
      </c>
    </row>
    <row r="4" customFormat="false" ht="15" hidden="false" customHeight="false" outlineLevel="0" collapsed="false">
      <c r="A4" s="12" t="s">
        <v>76</v>
      </c>
      <c r="B4" s="13" t="s">
        <v>25</v>
      </c>
      <c r="C4" s="13" t="s">
        <v>36</v>
      </c>
      <c r="D4" s="13" t="s">
        <v>36</v>
      </c>
      <c r="E4" s="13" t="s">
        <v>36</v>
      </c>
      <c r="F4" s="13" t="s">
        <v>48</v>
      </c>
      <c r="G4" s="13" t="s">
        <v>59</v>
      </c>
    </row>
    <row r="5" customFormat="false" ht="35.05" hidden="false" customHeight="false" outlineLevel="0" collapsed="false">
      <c r="A5" s="12" t="s">
        <v>77</v>
      </c>
      <c r="B5" s="13" t="s">
        <v>26</v>
      </c>
      <c r="C5" s="13" t="s">
        <v>37</v>
      </c>
      <c r="D5" s="13" t="s">
        <v>37</v>
      </c>
      <c r="E5" s="13" t="s">
        <v>37</v>
      </c>
      <c r="F5" s="13" t="s">
        <v>49</v>
      </c>
      <c r="G5" s="13" t="s">
        <v>60</v>
      </c>
    </row>
    <row r="6" customFormat="false" ht="23.85" hidden="false" customHeight="false" outlineLevel="0" collapsed="false">
      <c r="A6" s="12" t="s">
        <v>78</v>
      </c>
      <c r="B6" s="13" t="s">
        <v>79</v>
      </c>
      <c r="C6" s="13" t="s">
        <v>37</v>
      </c>
      <c r="D6" s="13" t="s">
        <v>37</v>
      </c>
      <c r="E6" s="13" t="s">
        <v>37</v>
      </c>
      <c r="F6" s="13" t="s">
        <v>80</v>
      </c>
      <c r="G6" s="13" t="s">
        <v>60</v>
      </c>
    </row>
    <row r="7" customFormat="false" ht="23.85" hidden="false" customHeight="false" outlineLevel="0" collapsed="false">
      <c r="A7" s="12" t="s">
        <v>81</v>
      </c>
      <c r="B7" s="13" t="s">
        <v>82</v>
      </c>
      <c r="C7" s="13"/>
      <c r="D7" s="13"/>
      <c r="E7" s="13"/>
      <c r="F7" s="13" t="s">
        <v>83</v>
      </c>
      <c r="G7" s="13" t="s">
        <v>84</v>
      </c>
    </row>
    <row r="8" customFormat="false" ht="23.85" hidden="false" customHeight="false" outlineLevel="0" collapsed="false">
      <c r="A8" s="12" t="s">
        <v>85</v>
      </c>
      <c r="B8" s="13" t="s">
        <v>86</v>
      </c>
      <c r="C8" s="13"/>
      <c r="D8" s="13"/>
      <c r="E8" s="13"/>
      <c r="F8" s="13" t="s">
        <v>87</v>
      </c>
      <c r="G8" s="13" t="s">
        <v>88</v>
      </c>
    </row>
    <row r="9" customFormat="false" ht="23.85" hidden="false" customHeight="false" outlineLevel="0" collapsed="false">
      <c r="A9" s="12" t="s">
        <v>89</v>
      </c>
      <c r="B9" s="13" t="s">
        <v>90</v>
      </c>
      <c r="C9" s="13"/>
      <c r="D9" s="13"/>
      <c r="E9" s="13"/>
      <c r="F9" s="13" t="s">
        <v>91</v>
      </c>
      <c r="G9" s="13"/>
    </row>
    <row r="10" customFormat="false" ht="15" hidden="false" customHeight="false" outlineLevel="0" collapsed="false">
      <c r="A10" s="12" t="s">
        <v>92</v>
      </c>
      <c r="B10" s="13"/>
      <c r="C10" s="13"/>
      <c r="D10" s="13"/>
      <c r="E10" s="13"/>
      <c r="F10" s="13" t="s">
        <v>93</v>
      </c>
      <c r="G10" s="13"/>
    </row>
    <row r="11" customFormat="false" ht="15" hidden="false" customHeight="false" outlineLevel="0" collapsed="false">
      <c r="A11" s="12" t="s">
        <v>94</v>
      </c>
      <c r="B11" s="13" t="s">
        <v>32</v>
      </c>
      <c r="C11" s="13" t="s">
        <v>44</v>
      </c>
      <c r="D11" s="13" t="s">
        <v>44</v>
      </c>
      <c r="E11" s="13" t="s">
        <v>44</v>
      </c>
      <c r="F11" s="13" t="s">
        <v>32</v>
      </c>
      <c r="G11" s="13" t="s">
        <v>32</v>
      </c>
    </row>
    <row r="12" customFormat="false" ht="15" hidden="false" customHeight="false" outlineLevel="0" collapsed="false">
      <c r="A12" s="12" t="s">
        <v>7</v>
      </c>
      <c r="B12" s="13" t="s">
        <v>27</v>
      </c>
      <c r="C12" s="13" t="s">
        <v>38</v>
      </c>
      <c r="D12" s="13" t="s">
        <v>38</v>
      </c>
      <c r="E12" s="13" t="s">
        <v>38</v>
      </c>
      <c r="F12" s="13" t="s">
        <v>50</v>
      </c>
      <c r="G12" s="13" t="s">
        <v>61</v>
      </c>
    </row>
    <row r="13" customFormat="false" ht="15" hidden="false" customHeight="false" outlineLevel="0" collapsed="false">
      <c r="A13" s="12" t="s">
        <v>11</v>
      </c>
      <c r="B13" s="13"/>
      <c r="C13" s="13" t="s">
        <v>42</v>
      </c>
      <c r="D13" s="13" t="s">
        <v>42</v>
      </c>
      <c r="E13" s="13" t="s">
        <v>42</v>
      </c>
      <c r="F13" s="13" t="s">
        <v>54</v>
      </c>
      <c r="G13" s="13" t="s">
        <v>64</v>
      </c>
    </row>
    <row r="14" customFormat="false" ht="15" hidden="false" customHeight="false" outlineLevel="0" collapsed="false">
      <c r="A14" s="12" t="s">
        <v>95</v>
      </c>
      <c r="B14" s="13" t="s">
        <v>31</v>
      </c>
      <c r="C14" s="13" t="s">
        <v>43</v>
      </c>
      <c r="D14" s="13" t="s">
        <v>43</v>
      </c>
      <c r="E14" s="13" t="s">
        <v>43</v>
      </c>
      <c r="F14" s="13" t="s">
        <v>55</v>
      </c>
      <c r="G14" s="13" t="s">
        <v>65</v>
      </c>
    </row>
    <row r="15" customFormat="false" ht="15" hidden="false" customHeight="false" outlineLevel="0" collapsed="false">
      <c r="A15" s="12" t="s">
        <v>96</v>
      </c>
      <c r="B15" s="13" t="s">
        <v>28</v>
      </c>
      <c r="C15" s="13" t="s">
        <v>39</v>
      </c>
      <c r="D15" s="13" t="s">
        <v>39</v>
      </c>
      <c r="E15" s="13" t="s">
        <v>39</v>
      </c>
      <c r="F15" s="13" t="s">
        <v>51</v>
      </c>
      <c r="G15" s="13" t="s">
        <v>51</v>
      </c>
    </row>
    <row r="16" customFormat="false" ht="15" hidden="false" customHeight="false" outlineLevel="0" collapsed="false">
      <c r="A16" s="12" t="s">
        <v>9</v>
      </c>
      <c r="B16" s="13" t="s">
        <v>29</v>
      </c>
      <c r="C16" s="13" t="s">
        <v>40</v>
      </c>
      <c r="D16" s="13" t="s">
        <v>40</v>
      </c>
      <c r="E16" s="13" t="s">
        <v>40</v>
      </c>
      <c r="F16" s="13" t="s">
        <v>52</v>
      </c>
      <c r="G16" s="13" t="s">
        <v>62</v>
      </c>
    </row>
    <row r="17" customFormat="false" ht="15" hidden="false" customHeight="false" outlineLevel="0" collapsed="false">
      <c r="A17" s="12" t="s">
        <v>97</v>
      </c>
      <c r="B17" s="13" t="s">
        <v>30</v>
      </c>
      <c r="C17" s="13" t="s">
        <v>41</v>
      </c>
      <c r="D17" s="13" t="s">
        <v>41</v>
      </c>
      <c r="E17" s="13" t="s">
        <v>41</v>
      </c>
      <c r="F17" s="13" t="s">
        <v>53</v>
      </c>
      <c r="G17" s="13" t="s">
        <v>63</v>
      </c>
    </row>
    <row r="18" customFormat="false" ht="15" hidden="false" customHeight="false" outlineLevel="0" collapsed="false">
      <c r="A18" s="12" t="s">
        <v>98</v>
      </c>
      <c r="B18" s="13" t="s">
        <v>99</v>
      </c>
      <c r="C18" s="13" t="s">
        <v>100</v>
      </c>
      <c r="D18" s="13" t="s">
        <v>100</v>
      </c>
      <c r="E18" s="13" t="s">
        <v>100</v>
      </c>
      <c r="F18" s="13" t="s">
        <v>101</v>
      </c>
      <c r="G18" s="13" t="s">
        <v>102</v>
      </c>
    </row>
    <row r="19" customFormat="false" ht="15" hidden="false" customHeight="false" outlineLevel="0" collapsed="false">
      <c r="A19" s="12" t="s">
        <v>103</v>
      </c>
      <c r="B19" s="13" t="s">
        <v>104</v>
      </c>
      <c r="C19" s="13" t="s">
        <v>104</v>
      </c>
      <c r="D19" s="13" t="s">
        <v>104</v>
      </c>
      <c r="E19" s="13" t="s">
        <v>104</v>
      </c>
      <c r="F19" s="13" t="s">
        <v>104</v>
      </c>
      <c r="G19" s="13" t="s">
        <v>104</v>
      </c>
    </row>
    <row r="20" customFormat="false" ht="15" hidden="false" customHeight="false" outlineLevel="0" collapsed="false">
      <c r="A20" s="12" t="s">
        <v>105</v>
      </c>
      <c r="B20" s="13"/>
      <c r="C20" s="13" t="s">
        <v>106</v>
      </c>
      <c r="D20" s="13" t="s">
        <v>106</v>
      </c>
      <c r="E20" s="13" t="s">
        <v>106</v>
      </c>
      <c r="F20" s="13" t="s">
        <v>107</v>
      </c>
      <c r="G20" s="13" t="s">
        <v>108</v>
      </c>
    </row>
    <row r="21" customFormat="false" ht="15" hidden="false" customHeight="false" outlineLevel="0" collapsed="false">
      <c r="A21" s="12" t="s">
        <v>109</v>
      </c>
      <c r="B21" s="13"/>
      <c r="C21" s="13" t="s">
        <v>110</v>
      </c>
      <c r="D21" s="13" t="s">
        <v>110</v>
      </c>
      <c r="E21" s="13" t="s">
        <v>110</v>
      </c>
      <c r="F21" s="13" t="s">
        <v>111</v>
      </c>
      <c r="G21" s="13" t="s">
        <v>112</v>
      </c>
    </row>
    <row r="22" customFormat="false" ht="15" hidden="false" customHeight="false" outlineLevel="0" collapsed="false">
      <c r="A22" s="12" t="s">
        <v>113</v>
      </c>
      <c r="B22" s="13" t="s">
        <v>23</v>
      </c>
      <c r="C22" s="13" t="s">
        <v>34</v>
      </c>
      <c r="D22" s="13" t="s">
        <v>34</v>
      </c>
      <c r="E22" s="13" t="s">
        <v>34</v>
      </c>
      <c r="F22" s="13" t="s">
        <v>46</v>
      </c>
      <c r="G22" s="13" t="s">
        <v>57</v>
      </c>
    </row>
    <row r="23" customFormat="false" ht="23.85" hidden="false" customHeight="false" outlineLevel="0" collapsed="false">
      <c r="A23" s="12" t="s">
        <v>114</v>
      </c>
      <c r="B23" s="13"/>
      <c r="C23" s="13"/>
      <c r="D23" s="13"/>
      <c r="E23" s="13"/>
      <c r="F23" s="13" t="s">
        <v>115</v>
      </c>
      <c r="G23" s="13"/>
    </row>
    <row r="24" customFormat="false" ht="15" hidden="false" customHeight="false" outlineLevel="0" collapsed="false">
      <c r="A24" s="12" t="s">
        <v>116</v>
      </c>
      <c r="B24" s="13" t="s">
        <v>117</v>
      </c>
      <c r="C24" s="13" t="s">
        <v>117</v>
      </c>
      <c r="D24" s="13" t="s">
        <v>117</v>
      </c>
      <c r="E24" s="13" t="s">
        <v>117</v>
      </c>
      <c r="F24" s="13" t="s">
        <v>117</v>
      </c>
      <c r="G24" s="13" t="s">
        <v>117</v>
      </c>
    </row>
    <row r="25" customFormat="false" ht="15" hidden="false" customHeight="false" outlineLevel="0" collapsed="false">
      <c r="A25" s="12" t="s">
        <v>118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</row>
    <row r="26" customFormat="false" ht="15" hidden="false" customHeight="false" outlineLevel="0" collapsed="false">
      <c r="A26" s="12" t="s">
        <v>119</v>
      </c>
      <c r="B26" s="13" t="n">
        <v>0</v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0</v>
      </c>
    </row>
    <row r="27" customFormat="false" ht="15" hidden="false" customHeight="false" outlineLevel="0" collapsed="false">
      <c r="A27" s="12" t="s">
        <v>120</v>
      </c>
      <c r="B27" s="13"/>
      <c r="C27" s="13"/>
      <c r="D27" s="13"/>
      <c r="E27" s="13"/>
      <c r="F27" s="13"/>
      <c r="G27" s="13"/>
    </row>
    <row r="28" customFormat="false" ht="15" hidden="false" customHeight="false" outlineLevel="0" collapsed="false">
      <c r="A28" s="12" t="s">
        <v>121</v>
      </c>
      <c r="B28" s="13"/>
      <c r="C28" s="13"/>
      <c r="D28" s="13" t="s">
        <v>122</v>
      </c>
      <c r="E28" s="13" t="s">
        <v>123</v>
      </c>
      <c r="F28" s="13"/>
      <c r="G28" s="13"/>
    </row>
    <row r="29" customFormat="false" ht="15" hidden="false" customHeight="false" outlineLevel="0" collapsed="false">
      <c r="A29" s="12" t="s">
        <v>124</v>
      </c>
      <c r="B29" s="13"/>
      <c r="C29" s="13"/>
      <c r="D29" s="13" t="s">
        <v>125</v>
      </c>
      <c r="E29" s="13" t="s">
        <v>126</v>
      </c>
      <c r="F29" s="13"/>
      <c r="G29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3"/>
    <col collapsed="false" customWidth="true" hidden="false" outlineLevel="0" max="4" min="4" style="0" width="9"/>
    <col collapsed="false" customWidth="true" hidden="false" outlineLevel="0" max="5" min="5" style="0" width="48"/>
    <col collapsed="false" customWidth="true" hidden="false" outlineLevel="0" max="6" min="6" style="0" width="9"/>
    <col collapsed="false" customWidth="true" hidden="false" outlineLevel="0" max="8" min="7" style="0" width="16"/>
  </cols>
  <sheetData>
    <row r="1" customFormat="false" ht="15" hidden="false" customHeight="false" outlineLevel="0" collapsed="false">
      <c r="A1" s="3" t="s">
        <v>2</v>
      </c>
      <c r="B1" s="3" t="s">
        <v>6</v>
      </c>
      <c r="C1" s="3" t="s">
        <v>4</v>
      </c>
      <c r="D1" s="3" t="s">
        <v>72</v>
      </c>
      <c r="E1" s="3" t="s">
        <v>127</v>
      </c>
      <c r="F1" s="3" t="s">
        <v>12</v>
      </c>
      <c r="G1" s="3" t="s">
        <v>128</v>
      </c>
      <c r="H1" s="3" t="s">
        <v>129</v>
      </c>
    </row>
    <row r="2" customFormat="false" ht="15" hidden="false" customHeight="false" outlineLevel="0" collapsed="false">
      <c r="A2" s="4" t="s">
        <v>22</v>
      </c>
      <c r="B2" s="4" t="s">
        <v>25</v>
      </c>
      <c r="C2" s="4" t="s">
        <v>24</v>
      </c>
      <c r="D2" s="4" t="s">
        <v>73</v>
      </c>
      <c r="E2" s="4" t="s">
        <v>130</v>
      </c>
      <c r="F2" s="14" t="n">
        <v>6</v>
      </c>
      <c r="G2" s="5" t="n">
        <v>3888750</v>
      </c>
      <c r="H2" s="15" t="n">
        <f aca="false">F2*G2</f>
        <v>23332500</v>
      </c>
    </row>
    <row r="3" customFormat="false" ht="15" hidden="false" customHeight="false" outlineLevel="0" collapsed="false">
      <c r="A3" s="4" t="s">
        <v>33</v>
      </c>
      <c r="B3" s="4" t="s">
        <v>36</v>
      </c>
      <c r="C3" s="4" t="s">
        <v>35</v>
      </c>
      <c r="D3" s="4" t="s">
        <v>73</v>
      </c>
      <c r="E3" s="4" t="s">
        <v>131</v>
      </c>
      <c r="F3" s="14" t="n">
        <v>6</v>
      </c>
      <c r="G3" s="5" t="n">
        <v>3220000</v>
      </c>
      <c r="H3" s="15" t="n">
        <f aca="false">F3*G3</f>
        <v>19320000</v>
      </c>
    </row>
    <row r="4" customFormat="false" ht="15" hidden="false" customHeight="false" outlineLevel="0" collapsed="false">
      <c r="A4" s="4" t="s">
        <v>33</v>
      </c>
      <c r="B4" s="4" t="s">
        <v>36</v>
      </c>
      <c r="C4" s="4" t="s">
        <v>35</v>
      </c>
      <c r="D4" s="4" t="s">
        <v>73</v>
      </c>
      <c r="E4" s="4" t="s">
        <v>132</v>
      </c>
      <c r="F4" s="14" t="n">
        <v>1</v>
      </c>
      <c r="G4" s="5" t="n">
        <v>5035000</v>
      </c>
      <c r="H4" s="15" t="n">
        <f aca="false">F4*G4</f>
        <v>5035000</v>
      </c>
    </row>
    <row r="5" customFormat="false" ht="15" hidden="false" customHeight="false" outlineLevel="0" collapsed="false">
      <c r="A5" s="4" t="s">
        <v>33</v>
      </c>
      <c r="B5" s="4" t="s">
        <v>36</v>
      </c>
      <c r="C5" s="4" t="s">
        <v>35</v>
      </c>
      <c r="D5" s="4" t="s">
        <v>73</v>
      </c>
      <c r="E5" s="4" t="s">
        <v>133</v>
      </c>
      <c r="F5" s="14" t="n">
        <v>1</v>
      </c>
      <c r="G5" s="5" t="n">
        <v>3769000</v>
      </c>
      <c r="H5" s="15" t="n">
        <f aca="false">F5*G5</f>
        <v>3769000</v>
      </c>
    </row>
    <row r="6" customFormat="false" ht="15" hidden="false" customHeight="false" outlineLevel="0" collapsed="false">
      <c r="A6" s="4" t="s">
        <v>33</v>
      </c>
      <c r="B6" s="4" t="s">
        <v>36</v>
      </c>
      <c r="C6" s="4" t="s">
        <v>35</v>
      </c>
      <c r="D6" s="4" t="s">
        <v>73</v>
      </c>
      <c r="E6" s="4" t="s">
        <v>134</v>
      </c>
      <c r="F6" s="14" t="n">
        <v>12</v>
      </c>
      <c r="G6" s="5" t="n">
        <v>15000</v>
      </c>
      <c r="H6" s="15" t="n">
        <f aca="false">F6*G6</f>
        <v>180000</v>
      </c>
    </row>
    <row r="7" customFormat="false" ht="15" hidden="false" customHeight="false" outlineLevel="0" collapsed="false">
      <c r="A7" s="4" t="s">
        <v>33</v>
      </c>
      <c r="B7" s="4" t="s">
        <v>36</v>
      </c>
      <c r="C7" s="4" t="s">
        <v>35</v>
      </c>
      <c r="D7" s="4" t="s">
        <v>74</v>
      </c>
      <c r="E7" s="4" t="s">
        <v>135</v>
      </c>
      <c r="F7" s="14" t="n">
        <v>1</v>
      </c>
      <c r="G7" s="5" t="n">
        <v>4995000</v>
      </c>
      <c r="H7" s="15" t="n">
        <f aca="false">F7*G7</f>
        <v>4995000</v>
      </c>
    </row>
    <row r="8" customFormat="false" ht="15" hidden="false" customHeight="false" outlineLevel="0" collapsed="false">
      <c r="A8" s="4" t="s">
        <v>33</v>
      </c>
      <c r="B8" s="4" t="s">
        <v>36</v>
      </c>
      <c r="C8" s="4" t="s">
        <v>35</v>
      </c>
      <c r="D8" s="4" t="s">
        <v>74</v>
      </c>
      <c r="E8" s="4" t="s">
        <v>136</v>
      </c>
      <c r="F8" s="14" t="n">
        <v>1</v>
      </c>
      <c r="G8" s="5" t="n">
        <v>3756329</v>
      </c>
      <c r="H8" s="15" t="n">
        <f aca="false">F8*G8</f>
        <v>3756329</v>
      </c>
    </row>
    <row r="9" customFormat="false" ht="15" hidden="false" customHeight="false" outlineLevel="0" collapsed="false">
      <c r="A9" s="4" t="s">
        <v>33</v>
      </c>
      <c r="B9" s="4" t="s">
        <v>36</v>
      </c>
      <c r="C9" s="4" t="s">
        <v>35</v>
      </c>
      <c r="D9" s="4" t="s">
        <v>74</v>
      </c>
      <c r="E9" s="4" t="s">
        <v>137</v>
      </c>
      <c r="F9" s="14" t="n">
        <v>1</v>
      </c>
      <c r="G9" s="5" t="n">
        <v>15058750</v>
      </c>
      <c r="H9" s="15" t="n">
        <f aca="false">F9*G9</f>
        <v>15058750</v>
      </c>
    </row>
    <row r="10" customFormat="false" ht="15" hidden="false" customHeight="false" outlineLevel="0" collapsed="false">
      <c r="A10" s="4" t="s">
        <v>33</v>
      </c>
      <c r="B10" s="4" t="s">
        <v>36</v>
      </c>
      <c r="C10" s="4" t="s">
        <v>35</v>
      </c>
      <c r="D10" s="4" t="s">
        <v>74</v>
      </c>
      <c r="E10" s="4" t="s">
        <v>138</v>
      </c>
      <c r="F10" s="14" t="n">
        <v>1</v>
      </c>
      <c r="G10" s="5" t="n">
        <v>4469046</v>
      </c>
      <c r="H10" s="15" t="n">
        <f aca="false">F10*G10</f>
        <v>4469046</v>
      </c>
    </row>
    <row r="11" customFormat="false" ht="15" hidden="false" customHeight="false" outlineLevel="0" collapsed="false">
      <c r="A11" s="4" t="s">
        <v>33</v>
      </c>
      <c r="B11" s="4" t="s">
        <v>36</v>
      </c>
      <c r="C11" s="4" t="s">
        <v>35</v>
      </c>
      <c r="D11" s="4" t="s">
        <v>74</v>
      </c>
      <c r="E11" s="4" t="s">
        <v>139</v>
      </c>
      <c r="F11" s="14" t="n">
        <v>1</v>
      </c>
      <c r="G11" s="5" t="n">
        <v>24875</v>
      </c>
      <c r="H11" s="15" t="n">
        <f aca="false">F11*G11</f>
        <v>24875</v>
      </c>
    </row>
    <row r="12" customFormat="false" ht="15" hidden="false" customHeight="false" outlineLevel="0" collapsed="false">
      <c r="A12" s="4" t="s">
        <v>45</v>
      </c>
      <c r="B12" s="4" t="s">
        <v>140</v>
      </c>
      <c r="C12" s="4" t="s">
        <v>47</v>
      </c>
      <c r="D12" s="4" t="s">
        <v>73</v>
      </c>
      <c r="E12" s="4" t="s">
        <v>141</v>
      </c>
      <c r="F12" s="14" t="n">
        <v>1</v>
      </c>
      <c r="G12" s="5" t="n">
        <v>1431250</v>
      </c>
      <c r="H12" s="15" t="n">
        <f aca="false">F12*G12</f>
        <v>1431250</v>
      </c>
    </row>
    <row r="13" customFormat="false" ht="15" hidden="false" customHeight="false" outlineLevel="0" collapsed="false">
      <c r="A13" s="4" t="s">
        <v>56</v>
      </c>
      <c r="B13" s="4" t="s">
        <v>142</v>
      </c>
      <c r="C13" s="4" t="s">
        <v>58</v>
      </c>
      <c r="D13" s="4" t="s">
        <v>73</v>
      </c>
      <c r="E13" s="4" t="s">
        <v>143</v>
      </c>
      <c r="F13" s="14" t="n">
        <v>9</v>
      </c>
      <c r="G13" s="5" t="n">
        <v>18022500</v>
      </c>
      <c r="H13" s="15" t="n">
        <f aca="false">F13*G13</f>
        <v>162202500</v>
      </c>
    </row>
    <row r="14" customFormat="false" ht="15" hidden="false" customHeight="false" outlineLevel="0" collapsed="false">
      <c r="A14" s="4" t="s">
        <v>56</v>
      </c>
      <c r="B14" s="4" t="s">
        <v>142</v>
      </c>
      <c r="C14" s="4" t="s">
        <v>58</v>
      </c>
      <c r="D14" s="4" t="s">
        <v>73</v>
      </c>
      <c r="E14" s="4" t="s">
        <v>144</v>
      </c>
      <c r="F14" s="14" t="n">
        <v>1</v>
      </c>
      <c r="G14" s="5" t="n">
        <v>2002500</v>
      </c>
      <c r="H14" s="15" t="n">
        <f aca="false">F14*G14</f>
        <v>2002500</v>
      </c>
    </row>
    <row r="15" customFormat="false" ht="15" hidden="false" customHeight="false" outlineLevel="0" collapsed="false">
      <c r="A15" s="9" t="s">
        <v>66</v>
      </c>
      <c r="H15" s="10" t="n">
        <f aca="false">SUM(H2:H14)</f>
        <v>245576750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8"/>
    <col collapsed="false" customWidth="true" hidden="false" outlineLevel="0" max="11" min="11" style="0" width="15"/>
  </cols>
  <sheetData>
    <row r="1" customFormat="false" ht="23.85" hidden="false" customHeight="false" outlineLevel="0" collapsed="false">
      <c r="A1" s="3" t="s">
        <v>2</v>
      </c>
      <c r="B1" s="3" t="s">
        <v>6</v>
      </c>
      <c r="C1" s="3" t="s">
        <v>145</v>
      </c>
      <c r="D1" s="3" t="s">
        <v>146</v>
      </c>
      <c r="E1" s="3" t="s">
        <v>147</v>
      </c>
      <c r="F1" s="3" t="s">
        <v>148</v>
      </c>
      <c r="G1" s="3" t="s">
        <v>149</v>
      </c>
      <c r="H1" s="3" t="s">
        <v>150</v>
      </c>
      <c r="I1" s="3" t="s">
        <v>151</v>
      </c>
      <c r="J1" s="3" t="s">
        <v>152</v>
      </c>
      <c r="K1" s="3" t="s">
        <v>129</v>
      </c>
    </row>
    <row r="2" customFormat="false" ht="15" hidden="false" customHeight="false" outlineLevel="0" collapsed="false">
      <c r="A2" s="4" t="s">
        <v>22</v>
      </c>
      <c r="B2" s="4" t="s">
        <v>25</v>
      </c>
      <c r="C2" s="4" t="s">
        <v>153</v>
      </c>
      <c r="D2" s="4" t="s">
        <v>154</v>
      </c>
      <c r="E2" s="4" t="s">
        <v>155</v>
      </c>
      <c r="F2" s="4" t="s">
        <v>156</v>
      </c>
      <c r="G2" s="4" t="s">
        <v>157</v>
      </c>
      <c r="H2" s="4" t="s">
        <v>158</v>
      </c>
      <c r="I2" s="4" t="s">
        <v>159</v>
      </c>
      <c r="J2" s="4" t="n">
        <v>30</v>
      </c>
      <c r="K2" s="5" t="n">
        <v>750000</v>
      </c>
    </row>
    <row r="3" customFormat="false" ht="15" hidden="false" customHeight="false" outlineLevel="0" collapsed="false">
      <c r="A3" s="4" t="s">
        <v>22</v>
      </c>
      <c r="B3" s="4" t="s">
        <v>25</v>
      </c>
      <c r="C3" s="4" t="s">
        <v>160</v>
      </c>
      <c r="D3" s="4" t="s">
        <v>161</v>
      </c>
      <c r="E3" s="4" t="s">
        <v>162</v>
      </c>
      <c r="F3" s="4" t="s">
        <v>156</v>
      </c>
      <c r="G3" s="4" t="s">
        <v>157</v>
      </c>
      <c r="H3" s="4" t="s">
        <v>158</v>
      </c>
      <c r="I3" s="4" t="s">
        <v>163</v>
      </c>
      <c r="J3" s="4" t="n">
        <v>30</v>
      </c>
      <c r="K3" s="5" t="n">
        <v>50000</v>
      </c>
    </row>
    <row r="4" customFormat="false" ht="15" hidden="false" customHeight="false" outlineLevel="0" collapsed="false">
      <c r="A4" s="4" t="s">
        <v>22</v>
      </c>
      <c r="B4" s="4" t="s">
        <v>25</v>
      </c>
      <c r="C4" s="4" t="s">
        <v>164</v>
      </c>
      <c r="D4" s="4" t="s">
        <v>165</v>
      </c>
      <c r="E4" s="4" t="s">
        <v>166</v>
      </c>
      <c r="F4" s="4" t="s">
        <v>156</v>
      </c>
      <c r="G4" s="4" t="s">
        <v>157</v>
      </c>
      <c r="H4" s="4" t="s">
        <v>158</v>
      </c>
      <c r="I4" s="4" t="s">
        <v>167</v>
      </c>
      <c r="J4" s="4" t="n">
        <v>30</v>
      </c>
      <c r="K4" s="5" t="n">
        <v>20000</v>
      </c>
    </row>
    <row r="5" customFormat="false" ht="15" hidden="false" customHeight="false" outlineLevel="0" collapsed="false">
      <c r="A5" s="4" t="s">
        <v>22</v>
      </c>
      <c r="B5" s="4" t="s">
        <v>25</v>
      </c>
      <c r="C5" s="4" t="s">
        <v>164</v>
      </c>
      <c r="D5" s="4" t="s">
        <v>168</v>
      </c>
      <c r="E5" s="4" t="s">
        <v>166</v>
      </c>
      <c r="F5" s="4" t="s">
        <v>156</v>
      </c>
      <c r="G5" s="4" t="s">
        <v>157</v>
      </c>
      <c r="H5" s="4" t="s">
        <v>158</v>
      </c>
      <c r="I5" s="4" t="s">
        <v>169</v>
      </c>
      <c r="J5" s="4" t="n">
        <v>30</v>
      </c>
      <c r="K5" s="5" t="n">
        <v>60000</v>
      </c>
    </row>
    <row r="6" customFormat="false" ht="15" hidden="false" customHeight="false" outlineLevel="0" collapsed="false">
      <c r="A6" s="4" t="s">
        <v>22</v>
      </c>
      <c r="B6" s="4" t="s">
        <v>25</v>
      </c>
      <c r="C6" s="4" t="s">
        <v>164</v>
      </c>
      <c r="D6" s="4" t="s">
        <v>170</v>
      </c>
      <c r="E6" s="4" t="s">
        <v>166</v>
      </c>
      <c r="F6" s="4" t="s">
        <v>156</v>
      </c>
      <c r="G6" s="4" t="s">
        <v>157</v>
      </c>
      <c r="H6" s="4" t="s">
        <v>158</v>
      </c>
      <c r="I6" s="4" t="s">
        <v>171</v>
      </c>
      <c r="J6" s="4" t="n">
        <v>30</v>
      </c>
      <c r="K6" s="5" t="n">
        <v>90000</v>
      </c>
    </row>
    <row r="7" customFormat="false" ht="15" hidden="false" customHeight="false" outlineLevel="0" collapsed="false">
      <c r="A7" s="4" t="s">
        <v>22</v>
      </c>
      <c r="B7" s="4" t="s">
        <v>25</v>
      </c>
      <c r="C7" s="4" t="s">
        <v>172</v>
      </c>
      <c r="D7" s="4" t="s">
        <v>173</v>
      </c>
      <c r="E7" s="4" t="s">
        <v>174</v>
      </c>
      <c r="F7" s="4" t="s">
        <v>175</v>
      </c>
      <c r="G7" s="4" t="s">
        <v>176</v>
      </c>
      <c r="H7" s="4" t="s">
        <v>135</v>
      </c>
      <c r="I7" s="4" t="s">
        <v>177</v>
      </c>
      <c r="J7" s="4" t="n">
        <v>30</v>
      </c>
      <c r="K7" s="5" t="n">
        <v>2872000</v>
      </c>
    </row>
    <row r="8" customFormat="false" ht="15" hidden="false" customHeight="false" outlineLevel="0" collapsed="false">
      <c r="A8" s="4" t="s">
        <v>22</v>
      </c>
      <c r="B8" s="4" t="s">
        <v>25</v>
      </c>
      <c r="C8" s="4" t="s">
        <v>178</v>
      </c>
      <c r="D8" s="4" t="s">
        <v>179</v>
      </c>
      <c r="E8" s="4" t="s">
        <v>174</v>
      </c>
      <c r="F8" s="4" t="s">
        <v>156</v>
      </c>
      <c r="G8" s="4" t="s">
        <v>157</v>
      </c>
      <c r="H8" s="4" t="s">
        <v>158</v>
      </c>
      <c r="I8" s="4" t="s">
        <v>180</v>
      </c>
      <c r="J8" s="4" t="n">
        <v>30</v>
      </c>
      <c r="K8" s="5" t="n">
        <v>6000</v>
      </c>
    </row>
    <row r="9" customFormat="false" ht="15" hidden="false" customHeight="false" outlineLevel="0" collapsed="false">
      <c r="A9" s="4" t="s">
        <v>22</v>
      </c>
      <c r="B9" s="4" t="s">
        <v>25</v>
      </c>
      <c r="C9" s="4" t="s">
        <v>178</v>
      </c>
      <c r="D9" s="4" t="s">
        <v>181</v>
      </c>
      <c r="E9" s="4" t="s">
        <v>174</v>
      </c>
      <c r="F9" s="4" t="s">
        <v>156</v>
      </c>
      <c r="G9" s="4" t="s">
        <v>157</v>
      </c>
      <c r="H9" s="4" t="s">
        <v>158</v>
      </c>
      <c r="I9" s="4" t="s">
        <v>182</v>
      </c>
      <c r="J9" s="4" t="n">
        <v>30</v>
      </c>
      <c r="K9" s="5" t="n">
        <v>4000</v>
      </c>
    </row>
    <row r="10" customFormat="false" ht="15" hidden="false" customHeight="false" outlineLevel="0" collapsed="false">
      <c r="A10" s="4" t="s">
        <v>22</v>
      </c>
      <c r="B10" s="4" t="s">
        <v>25</v>
      </c>
      <c r="C10" s="4" t="s">
        <v>183</v>
      </c>
      <c r="D10" s="4" t="s">
        <v>184</v>
      </c>
      <c r="E10" s="4" t="s">
        <v>185</v>
      </c>
      <c r="F10" s="4" t="s">
        <v>186</v>
      </c>
      <c r="G10" s="4" t="s">
        <v>187</v>
      </c>
      <c r="H10" s="4" t="s">
        <v>136</v>
      </c>
      <c r="I10" s="4" t="s">
        <v>177</v>
      </c>
      <c r="J10" s="4" t="n">
        <v>30</v>
      </c>
      <c r="K10" s="5" t="n">
        <v>1909000</v>
      </c>
    </row>
    <row r="11" customFormat="false" ht="15" hidden="false" customHeight="false" outlineLevel="0" collapsed="false">
      <c r="A11" s="4" t="s">
        <v>22</v>
      </c>
      <c r="B11" s="4" t="s">
        <v>25</v>
      </c>
      <c r="C11" s="4" t="s">
        <v>188</v>
      </c>
      <c r="D11" s="4" t="s">
        <v>189</v>
      </c>
      <c r="E11" s="4" t="s">
        <v>185</v>
      </c>
      <c r="F11" s="4" t="s">
        <v>156</v>
      </c>
      <c r="G11" s="4" t="s">
        <v>157</v>
      </c>
      <c r="H11" s="4" t="s">
        <v>158</v>
      </c>
      <c r="I11" s="4" t="s">
        <v>190</v>
      </c>
      <c r="J11" s="4" t="n">
        <v>30</v>
      </c>
      <c r="K11" s="5" t="n">
        <v>4000</v>
      </c>
    </row>
    <row r="12" customFormat="false" ht="15" hidden="false" customHeight="false" outlineLevel="0" collapsed="false">
      <c r="A12" s="4" t="s">
        <v>22</v>
      </c>
      <c r="B12" s="4" t="s">
        <v>25</v>
      </c>
      <c r="C12" s="4" t="s">
        <v>188</v>
      </c>
      <c r="D12" s="4" t="s">
        <v>191</v>
      </c>
      <c r="E12" s="4" t="s">
        <v>185</v>
      </c>
      <c r="F12" s="4" t="s">
        <v>156</v>
      </c>
      <c r="G12" s="4" t="s">
        <v>157</v>
      </c>
      <c r="H12" s="4" t="s">
        <v>158</v>
      </c>
      <c r="I12" s="4" t="s">
        <v>192</v>
      </c>
      <c r="J12" s="4" t="n">
        <v>30</v>
      </c>
      <c r="K12" s="5" t="n">
        <v>40000</v>
      </c>
    </row>
    <row r="13" customFormat="false" ht="15" hidden="false" customHeight="false" outlineLevel="0" collapsed="false">
      <c r="A13" s="4" t="s">
        <v>22</v>
      </c>
      <c r="B13" s="4" t="s">
        <v>25</v>
      </c>
      <c r="C13" s="4" t="s">
        <v>188</v>
      </c>
      <c r="D13" s="4" t="s">
        <v>193</v>
      </c>
      <c r="E13" s="4" t="s">
        <v>185</v>
      </c>
      <c r="F13" s="4" t="s">
        <v>156</v>
      </c>
      <c r="G13" s="4" t="s">
        <v>157</v>
      </c>
      <c r="H13" s="4" t="s">
        <v>158</v>
      </c>
      <c r="I13" s="4" t="s">
        <v>194</v>
      </c>
      <c r="J13" s="4" t="n">
        <v>30</v>
      </c>
      <c r="K13" s="5" t="n">
        <v>6000</v>
      </c>
    </row>
    <row r="14" customFormat="false" ht="15" hidden="false" customHeight="false" outlineLevel="0" collapsed="false">
      <c r="A14" s="4" t="s">
        <v>22</v>
      </c>
      <c r="B14" s="4" t="s">
        <v>25</v>
      </c>
      <c r="C14" s="4" t="s">
        <v>195</v>
      </c>
      <c r="D14" s="4" t="s">
        <v>196</v>
      </c>
      <c r="E14" s="4" t="s">
        <v>197</v>
      </c>
      <c r="F14" s="4" t="s">
        <v>156</v>
      </c>
      <c r="G14" s="4" t="s">
        <v>157</v>
      </c>
      <c r="H14" s="4" t="s">
        <v>158</v>
      </c>
      <c r="I14" s="4" t="s">
        <v>198</v>
      </c>
      <c r="J14" s="4" t="n">
        <v>30</v>
      </c>
      <c r="K14" s="5" t="n">
        <v>100000</v>
      </c>
    </row>
    <row r="15" customFormat="false" ht="15" hidden="false" customHeight="false" outlineLevel="0" collapsed="false">
      <c r="A15" s="4" t="s">
        <v>33</v>
      </c>
      <c r="B15" s="4" t="s">
        <v>36</v>
      </c>
      <c r="C15" s="4" t="s">
        <v>153</v>
      </c>
      <c r="D15" s="4" t="s">
        <v>199</v>
      </c>
      <c r="E15" s="4" t="s">
        <v>155</v>
      </c>
      <c r="F15" s="4" t="s">
        <v>156</v>
      </c>
      <c r="G15" s="4" t="s">
        <v>157</v>
      </c>
      <c r="H15" s="4" t="s">
        <v>158</v>
      </c>
      <c r="I15" s="4" t="s">
        <v>200</v>
      </c>
      <c r="J15" s="4" t="n">
        <v>30</v>
      </c>
      <c r="K15" s="5" t="n">
        <v>1250000</v>
      </c>
    </row>
    <row r="16" customFormat="false" ht="15" hidden="false" customHeight="false" outlineLevel="0" collapsed="false">
      <c r="A16" s="4" t="s">
        <v>33</v>
      </c>
      <c r="B16" s="4" t="s">
        <v>36</v>
      </c>
      <c r="C16" s="4" t="s">
        <v>201</v>
      </c>
      <c r="D16" s="4" t="s">
        <v>202</v>
      </c>
      <c r="E16" s="4" t="s">
        <v>203</v>
      </c>
      <c r="F16" s="4" t="s">
        <v>156</v>
      </c>
      <c r="G16" s="4" t="s">
        <v>157</v>
      </c>
      <c r="H16" s="4" t="s">
        <v>158</v>
      </c>
      <c r="I16" s="4" t="s">
        <v>204</v>
      </c>
      <c r="J16" s="4" t="n">
        <v>30</v>
      </c>
      <c r="K16" s="5" t="n">
        <v>22000</v>
      </c>
    </row>
    <row r="17" customFormat="false" ht="15" hidden="false" customHeight="false" outlineLevel="0" collapsed="false">
      <c r="A17" s="4" t="s">
        <v>33</v>
      </c>
      <c r="B17" s="4" t="s">
        <v>36</v>
      </c>
      <c r="C17" s="4" t="s">
        <v>205</v>
      </c>
      <c r="D17" s="4" t="s">
        <v>206</v>
      </c>
      <c r="E17" s="4" t="s">
        <v>203</v>
      </c>
      <c r="F17" s="4" t="s">
        <v>207</v>
      </c>
      <c r="G17" s="4" t="s">
        <v>208</v>
      </c>
      <c r="H17" s="4" t="s">
        <v>209</v>
      </c>
      <c r="I17" s="4" t="s">
        <v>210</v>
      </c>
      <c r="J17" s="4" t="n">
        <v>30</v>
      </c>
      <c r="K17" s="5" t="n">
        <v>84000</v>
      </c>
    </row>
    <row r="18" customFormat="false" ht="15" hidden="false" customHeight="false" outlineLevel="0" collapsed="false">
      <c r="A18" s="4" t="s">
        <v>33</v>
      </c>
      <c r="B18" s="4" t="s">
        <v>36</v>
      </c>
      <c r="C18" s="4" t="s">
        <v>172</v>
      </c>
      <c r="D18" s="4" t="s">
        <v>211</v>
      </c>
      <c r="E18" s="4" t="s">
        <v>174</v>
      </c>
      <c r="F18" s="4" t="s">
        <v>175</v>
      </c>
      <c r="G18" s="4" t="s">
        <v>176</v>
      </c>
      <c r="H18" s="4" t="s">
        <v>135</v>
      </c>
      <c r="I18" s="4" t="s">
        <v>210</v>
      </c>
      <c r="J18" s="4" t="n">
        <v>30</v>
      </c>
      <c r="K18" s="5" t="n">
        <v>5020000</v>
      </c>
    </row>
    <row r="19" customFormat="false" ht="15" hidden="false" customHeight="false" outlineLevel="0" collapsed="false">
      <c r="A19" s="4" t="s">
        <v>33</v>
      </c>
      <c r="B19" s="4" t="s">
        <v>36</v>
      </c>
      <c r="C19" s="4" t="s">
        <v>212</v>
      </c>
      <c r="D19" s="4" t="s">
        <v>213</v>
      </c>
      <c r="E19" s="4" t="s">
        <v>174</v>
      </c>
      <c r="F19" s="4" t="s">
        <v>186</v>
      </c>
      <c r="G19" s="4" t="s">
        <v>187</v>
      </c>
      <c r="H19" s="4" t="s">
        <v>136</v>
      </c>
      <c r="I19" s="4" t="s">
        <v>210</v>
      </c>
      <c r="J19" s="4" t="n">
        <v>30</v>
      </c>
      <c r="K19" s="5" t="n">
        <v>3759000</v>
      </c>
    </row>
    <row r="20" customFormat="false" ht="15" hidden="false" customHeight="false" outlineLevel="0" collapsed="false">
      <c r="A20" s="4" t="s">
        <v>33</v>
      </c>
      <c r="B20" s="4" t="s">
        <v>36</v>
      </c>
      <c r="C20" s="4" t="s">
        <v>178</v>
      </c>
      <c r="D20" s="4" t="s">
        <v>214</v>
      </c>
      <c r="E20" s="4" t="s">
        <v>174</v>
      </c>
      <c r="F20" s="4" t="s">
        <v>156</v>
      </c>
      <c r="G20" s="4" t="s">
        <v>157</v>
      </c>
      <c r="H20" s="4" t="s">
        <v>158</v>
      </c>
      <c r="I20" s="4" t="s">
        <v>180</v>
      </c>
      <c r="J20" s="4" t="n">
        <v>30</v>
      </c>
      <c r="K20" s="5" t="n">
        <v>15000</v>
      </c>
    </row>
    <row r="21" customFormat="false" ht="15" hidden="false" customHeight="false" outlineLevel="0" collapsed="false">
      <c r="A21" s="4" t="s">
        <v>33</v>
      </c>
      <c r="B21" s="4" t="s">
        <v>36</v>
      </c>
      <c r="C21" s="4" t="s">
        <v>178</v>
      </c>
      <c r="D21" s="4" t="s">
        <v>215</v>
      </c>
      <c r="E21" s="4" t="s">
        <v>174</v>
      </c>
      <c r="F21" s="4" t="s">
        <v>156</v>
      </c>
      <c r="G21" s="4" t="s">
        <v>157</v>
      </c>
      <c r="H21" s="4" t="s">
        <v>158</v>
      </c>
      <c r="I21" s="4" t="s">
        <v>194</v>
      </c>
      <c r="J21" s="4" t="n">
        <v>30</v>
      </c>
      <c r="K21" s="5" t="n">
        <v>15000</v>
      </c>
    </row>
    <row r="22" customFormat="false" ht="15" hidden="false" customHeight="false" outlineLevel="0" collapsed="false">
      <c r="A22" s="4" t="s">
        <v>33</v>
      </c>
      <c r="B22" s="4" t="s">
        <v>36</v>
      </c>
      <c r="C22" s="4" t="s">
        <v>178</v>
      </c>
      <c r="D22" s="4" t="s">
        <v>216</v>
      </c>
      <c r="E22" s="4" t="s">
        <v>174</v>
      </c>
      <c r="F22" s="4" t="s">
        <v>156</v>
      </c>
      <c r="G22" s="4" t="s">
        <v>157</v>
      </c>
      <c r="H22" s="4" t="s">
        <v>158</v>
      </c>
      <c r="I22" s="4" t="s">
        <v>182</v>
      </c>
      <c r="J22" s="4" t="n">
        <v>30</v>
      </c>
      <c r="K22" s="5" t="n">
        <v>4000</v>
      </c>
    </row>
    <row r="23" customFormat="false" ht="15" hidden="false" customHeight="false" outlineLevel="0" collapsed="false">
      <c r="A23" s="4" t="s">
        <v>33</v>
      </c>
      <c r="B23" s="4" t="s">
        <v>36</v>
      </c>
      <c r="C23" s="4" t="s">
        <v>178</v>
      </c>
      <c r="D23" s="4" t="s">
        <v>217</v>
      </c>
      <c r="E23" s="4" t="s">
        <v>174</v>
      </c>
      <c r="F23" s="4" t="s">
        <v>156</v>
      </c>
      <c r="G23" s="4" t="s">
        <v>157</v>
      </c>
      <c r="H23" s="4" t="s">
        <v>158</v>
      </c>
      <c r="I23" s="4" t="s">
        <v>218</v>
      </c>
      <c r="J23" s="4" t="n">
        <v>30</v>
      </c>
      <c r="K23" s="5" t="n">
        <v>12000</v>
      </c>
    </row>
    <row r="24" customFormat="false" ht="15" hidden="false" customHeight="false" outlineLevel="0" collapsed="false">
      <c r="A24" s="4" t="s">
        <v>33</v>
      </c>
      <c r="B24" s="4" t="s">
        <v>36</v>
      </c>
      <c r="C24" s="4" t="s">
        <v>178</v>
      </c>
      <c r="D24" s="4" t="s">
        <v>219</v>
      </c>
      <c r="E24" s="4" t="s">
        <v>174</v>
      </c>
      <c r="F24" s="4" t="s">
        <v>156</v>
      </c>
      <c r="G24" s="4" t="s">
        <v>157</v>
      </c>
      <c r="H24" s="4" t="s">
        <v>158</v>
      </c>
      <c r="I24" s="4" t="s">
        <v>190</v>
      </c>
      <c r="J24" s="4" t="n">
        <v>30</v>
      </c>
      <c r="K24" s="5" t="n">
        <v>8000</v>
      </c>
    </row>
    <row r="25" customFormat="false" ht="15" hidden="false" customHeight="false" outlineLevel="0" collapsed="false">
      <c r="A25" s="4" t="s">
        <v>33</v>
      </c>
      <c r="B25" s="4" t="s">
        <v>36</v>
      </c>
      <c r="C25" s="4" t="s">
        <v>220</v>
      </c>
      <c r="D25" s="4" t="s">
        <v>221</v>
      </c>
      <c r="E25" s="4" t="s">
        <v>222</v>
      </c>
      <c r="F25" s="4" t="s">
        <v>156</v>
      </c>
      <c r="G25" s="4" t="s">
        <v>157</v>
      </c>
      <c r="H25" s="4" t="s">
        <v>158</v>
      </c>
      <c r="I25" s="4" t="s">
        <v>223</v>
      </c>
      <c r="J25" s="4" t="n">
        <v>30</v>
      </c>
      <c r="K25" s="5" t="n">
        <v>26000</v>
      </c>
    </row>
    <row r="26" customFormat="false" ht="15" hidden="false" customHeight="false" outlineLevel="0" collapsed="false">
      <c r="A26" s="4" t="s">
        <v>45</v>
      </c>
      <c r="B26" s="4" t="s">
        <v>140</v>
      </c>
      <c r="C26" s="4" t="s">
        <v>224</v>
      </c>
      <c r="D26" s="4" t="s">
        <v>225</v>
      </c>
      <c r="E26" s="4" t="s">
        <v>162</v>
      </c>
      <c r="F26" s="4" t="s">
        <v>156</v>
      </c>
      <c r="G26" s="4" t="s">
        <v>157</v>
      </c>
      <c r="H26" s="4" t="s">
        <v>158</v>
      </c>
      <c r="I26" s="4" t="s">
        <v>226</v>
      </c>
      <c r="J26" s="4" t="n">
        <v>30</v>
      </c>
      <c r="K26" s="5" t="n">
        <v>5000</v>
      </c>
    </row>
    <row r="27" customFormat="false" ht="15" hidden="false" customHeight="false" outlineLevel="0" collapsed="false">
      <c r="A27" s="4" t="s">
        <v>45</v>
      </c>
      <c r="B27" s="4" t="s">
        <v>140</v>
      </c>
      <c r="C27" s="4" t="s">
        <v>227</v>
      </c>
      <c r="D27" s="4" t="s">
        <v>228</v>
      </c>
      <c r="E27" s="4" t="s">
        <v>229</v>
      </c>
      <c r="F27" s="4" t="s">
        <v>156</v>
      </c>
      <c r="G27" s="4" t="s">
        <v>157</v>
      </c>
      <c r="H27" s="4" t="s">
        <v>158</v>
      </c>
      <c r="I27" s="4" t="s">
        <v>190</v>
      </c>
      <c r="J27" s="4" t="n">
        <v>30</v>
      </c>
      <c r="K27" s="5" t="n">
        <v>4000</v>
      </c>
    </row>
    <row r="28" customFormat="false" ht="15" hidden="false" customHeight="false" outlineLevel="0" collapsed="false">
      <c r="A28" s="4" t="s">
        <v>45</v>
      </c>
      <c r="B28" s="4" t="s">
        <v>140</v>
      </c>
      <c r="C28" s="4" t="s">
        <v>227</v>
      </c>
      <c r="D28" s="4" t="s">
        <v>230</v>
      </c>
      <c r="E28" s="4" t="s">
        <v>229</v>
      </c>
      <c r="F28" s="4" t="s">
        <v>156</v>
      </c>
      <c r="G28" s="4" t="s">
        <v>157</v>
      </c>
      <c r="H28" s="4" t="s">
        <v>158</v>
      </c>
      <c r="I28" s="4" t="s">
        <v>218</v>
      </c>
      <c r="J28" s="4" t="n">
        <v>30</v>
      </c>
      <c r="K28" s="5" t="n">
        <v>1000</v>
      </c>
    </row>
    <row r="29" customFormat="false" ht="15" hidden="false" customHeight="false" outlineLevel="0" collapsed="false">
      <c r="A29" s="4" t="s">
        <v>45</v>
      </c>
      <c r="B29" s="4" t="s">
        <v>140</v>
      </c>
      <c r="C29" s="4" t="s">
        <v>231</v>
      </c>
      <c r="D29" s="4" t="s">
        <v>232</v>
      </c>
      <c r="E29" s="4" t="s">
        <v>233</v>
      </c>
      <c r="F29" s="4" t="s">
        <v>156</v>
      </c>
      <c r="G29" s="4" t="s">
        <v>157</v>
      </c>
      <c r="H29" s="4" t="s">
        <v>234</v>
      </c>
      <c r="I29" s="4" t="s">
        <v>235</v>
      </c>
      <c r="J29" s="4" t="n">
        <v>30</v>
      </c>
      <c r="K29" s="5" t="n">
        <v>151400</v>
      </c>
    </row>
    <row r="30" customFormat="false" ht="15" hidden="false" customHeight="false" outlineLevel="0" collapsed="false">
      <c r="A30" s="4" t="s">
        <v>45</v>
      </c>
      <c r="B30" s="4" t="s">
        <v>140</v>
      </c>
      <c r="C30" s="4" t="s">
        <v>236</v>
      </c>
      <c r="D30" s="4" t="s">
        <v>237</v>
      </c>
      <c r="E30" s="4" t="s">
        <v>229</v>
      </c>
      <c r="F30" s="4" t="s">
        <v>186</v>
      </c>
      <c r="G30" s="4" t="s">
        <v>187</v>
      </c>
      <c r="H30" s="4" t="s">
        <v>136</v>
      </c>
      <c r="I30" s="4" t="s">
        <v>238</v>
      </c>
      <c r="J30" s="4" t="n">
        <v>30</v>
      </c>
      <c r="K30" s="5" t="n">
        <v>506000</v>
      </c>
    </row>
    <row r="31" customFormat="false" ht="15" hidden="false" customHeight="false" outlineLevel="0" collapsed="false">
      <c r="A31" s="4" t="s">
        <v>45</v>
      </c>
      <c r="B31" s="4" t="s">
        <v>140</v>
      </c>
      <c r="C31" s="4" t="s">
        <v>227</v>
      </c>
      <c r="D31" s="4" t="s">
        <v>239</v>
      </c>
      <c r="E31" s="4" t="s">
        <v>229</v>
      </c>
      <c r="F31" s="4" t="s">
        <v>156</v>
      </c>
      <c r="G31" s="4" t="s">
        <v>157</v>
      </c>
      <c r="H31" s="4" t="s">
        <v>158</v>
      </c>
      <c r="I31" s="4" t="s">
        <v>194</v>
      </c>
      <c r="J31" s="4" t="n">
        <v>30</v>
      </c>
      <c r="K31" s="5" t="n">
        <v>6000</v>
      </c>
    </row>
    <row r="32" customFormat="false" ht="15" hidden="false" customHeight="false" outlineLevel="0" collapsed="false">
      <c r="A32" s="4" t="s">
        <v>45</v>
      </c>
      <c r="B32" s="4" t="s">
        <v>140</v>
      </c>
      <c r="C32" s="4" t="s">
        <v>240</v>
      </c>
      <c r="D32" s="4" t="s">
        <v>241</v>
      </c>
      <c r="E32" s="4" t="s">
        <v>222</v>
      </c>
      <c r="F32" s="4" t="s">
        <v>175</v>
      </c>
      <c r="G32" s="4" t="s">
        <v>176</v>
      </c>
      <c r="H32" s="4" t="s">
        <v>135</v>
      </c>
      <c r="I32" s="4" t="s">
        <v>238</v>
      </c>
      <c r="J32" s="4" t="n">
        <v>30</v>
      </c>
      <c r="K32" s="5" t="n">
        <v>550000</v>
      </c>
    </row>
    <row r="33" customFormat="false" ht="15" hidden="false" customHeight="false" outlineLevel="0" collapsed="false">
      <c r="A33" s="4" t="s">
        <v>45</v>
      </c>
      <c r="B33" s="4" t="s">
        <v>140</v>
      </c>
      <c r="C33" s="4" t="s">
        <v>195</v>
      </c>
      <c r="D33" s="4" t="s">
        <v>242</v>
      </c>
      <c r="E33" s="4" t="s">
        <v>197</v>
      </c>
      <c r="F33" s="4" t="s">
        <v>156</v>
      </c>
      <c r="G33" s="4" t="s">
        <v>157</v>
      </c>
      <c r="H33" s="4" t="s">
        <v>158</v>
      </c>
      <c r="I33" s="4" t="s">
        <v>243</v>
      </c>
      <c r="J33" s="4" t="n">
        <v>30</v>
      </c>
      <c r="K33" s="5" t="n">
        <v>75000</v>
      </c>
    </row>
    <row r="34" customFormat="false" ht="15" hidden="false" customHeight="false" outlineLevel="0" collapsed="false">
      <c r="A34" s="4" t="s">
        <v>45</v>
      </c>
      <c r="B34" s="4" t="s">
        <v>140</v>
      </c>
      <c r="C34" s="4" t="s">
        <v>220</v>
      </c>
      <c r="D34" s="4" t="s">
        <v>244</v>
      </c>
      <c r="E34" s="4" t="s">
        <v>222</v>
      </c>
      <c r="F34" s="4" t="s">
        <v>156</v>
      </c>
      <c r="G34" s="4" t="s">
        <v>157</v>
      </c>
      <c r="H34" s="4" t="s">
        <v>158</v>
      </c>
      <c r="I34" s="4" t="s">
        <v>180</v>
      </c>
      <c r="J34" s="4" t="n">
        <v>30</v>
      </c>
      <c r="K34" s="5" t="n">
        <v>6000</v>
      </c>
    </row>
    <row r="35" customFormat="false" ht="15" hidden="false" customHeight="false" outlineLevel="0" collapsed="false">
      <c r="A35" s="4" t="s">
        <v>56</v>
      </c>
      <c r="B35" s="4" t="s">
        <v>142</v>
      </c>
      <c r="C35" s="4" t="s">
        <v>245</v>
      </c>
      <c r="D35" s="4" t="s">
        <v>246</v>
      </c>
      <c r="E35" s="4" t="s">
        <v>203</v>
      </c>
      <c r="F35" s="4" t="s">
        <v>156</v>
      </c>
      <c r="G35" s="4" t="s">
        <v>157</v>
      </c>
      <c r="H35" s="4" t="s">
        <v>158</v>
      </c>
      <c r="I35" s="4" t="s">
        <v>247</v>
      </c>
      <c r="J35" s="4" t="n">
        <v>30</v>
      </c>
      <c r="K35" s="5" t="n">
        <v>40000</v>
      </c>
    </row>
    <row r="36" customFormat="false" ht="15" hidden="false" customHeight="false" outlineLevel="0" collapsed="false">
      <c r="A36" s="4" t="s">
        <v>56</v>
      </c>
      <c r="B36" s="4" t="s">
        <v>142</v>
      </c>
      <c r="C36" s="4" t="s">
        <v>224</v>
      </c>
      <c r="D36" s="4" t="s">
        <v>248</v>
      </c>
      <c r="E36" s="4" t="s">
        <v>162</v>
      </c>
      <c r="F36" s="4" t="s">
        <v>156</v>
      </c>
      <c r="G36" s="4" t="s">
        <v>157</v>
      </c>
      <c r="H36" s="4" t="s">
        <v>158</v>
      </c>
      <c r="I36" s="4" t="s">
        <v>249</v>
      </c>
      <c r="J36" s="4" t="n">
        <v>30</v>
      </c>
      <c r="K36" s="5" t="n">
        <v>70000</v>
      </c>
    </row>
    <row r="37" customFormat="false" ht="15" hidden="false" customHeight="false" outlineLevel="0" collapsed="false">
      <c r="A37" s="4" t="s">
        <v>56</v>
      </c>
      <c r="B37" s="4" t="s">
        <v>142</v>
      </c>
      <c r="C37" s="4" t="s">
        <v>164</v>
      </c>
      <c r="D37" s="4" t="s">
        <v>250</v>
      </c>
      <c r="E37" s="4" t="s">
        <v>166</v>
      </c>
      <c r="F37" s="4" t="s">
        <v>156</v>
      </c>
      <c r="G37" s="4" t="s">
        <v>157</v>
      </c>
      <c r="H37" s="4" t="s">
        <v>158</v>
      </c>
      <c r="I37" s="4" t="s">
        <v>251</v>
      </c>
      <c r="J37" s="4" t="n">
        <v>30</v>
      </c>
      <c r="K37" s="5" t="n">
        <v>500000</v>
      </c>
    </row>
    <row r="38" customFormat="false" ht="15" hidden="false" customHeight="false" outlineLevel="0" collapsed="false">
      <c r="A38" s="4" t="s">
        <v>56</v>
      </c>
      <c r="B38" s="4" t="s">
        <v>142</v>
      </c>
      <c r="C38" s="4" t="s">
        <v>240</v>
      </c>
      <c r="D38" s="4" t="s">
        <v>252</v>
      </c>
      <c r="E38" s="4" t="s">
        <v>222</v>
      </c>
      <c r="F38" s="4" t="s">
        <v>175</v>
      </c>
      <c r="G38" s="4" t="s">
        <v>176</v>
      </c>
      <c r="H38" s="4" t="s">
        <v>135</v>
      </c>
      <c r="I38" s="4" t="s">
        <v>253</v>
      </c>
      <c r="J38" s="4" t="n">
        <v>30</v>
      </c>
      <c r="K38" s="5" t="n">
        <v>8000000</v>
      </c>
    </row>
    <row r="39" customFormat="false" ht="15" hidden="false" customHeight="false" outlineLevel="0" collapsed="false">
      <c r="A39" s="4" t="s">
        <v>56</v>
      </c>
      <c r="B39" s="4" t="s">
        <v>142</v>
      </c>
      <c r="C39" s="4" t="s">
        <v>254</v>
      </c>
      <c r="D39" s="4" t="s">
        <v>255</v>
      </c>
      <c r="E39" s="4" t="s">
        <v>222</v>
      </c>
      <c r="F39" s="4" t="s">
        <v>186</v>
      </c>
      <c r="G39" s="4" t="s">
        <v>187</v>
      </c>
      <c r="H39" s="4" t="s">
        <v>136</v>
      </c>
      <c r="I39" s="4" t="s">
        <v>253</v>
      </c>
      <c r="J39" s="4" t="n">
        <v>30</v>
      </c>
      <c r="K39" s="5" t="n">
        <v>6273000</v>
      </c>
    </row>
    <row r="40" customFormat="false" ht="15" hidden="false" customHeight="false" outlineLevel="0" collapsed="false">
      <c r="A40" s="4" t="s">
        <v>56</v>
      </c>
      <c r="B40" s="4" t="s">
        <v>142</v>
      </c>
      <c r="C40" s="4" t="s">
        <v>220</v>
      </c>
      <c r="D40" s="4" t="s">
        <v>256</v>
      </c>
      <c r="E40" s="4" t="s">
        <v>222</v>
      </c>
      <c r="F40" s="4" t="s">
        <v>156</v>
      </c>
      <c r="G40" s="4" t="s">
        <v>157</v>
      </c>
      <c r="H40" s="4" t="s">
        <v>158</v>
      </c>
      <c r="I40" s="4" t="s">
        <v>194</v>
      </c>
      <c r="J40" s="4" t="n">
        <v>30</v>
      </c>
      <c r="K40" s="5" t="n">
        <v>10000</v>
      </c>
    </row>
    <row r="41" customFormat="false" ht="15" hidden="false" customHeight="false" outlineLevel="0" collapsed="false">
      <c r="A41" s="4" t="s">
        <v>56</v>
      </c>
      <c r="B41" s="4" t="s">
        <v>142</v>
      </c>
      <c r="C41" s="4" t="s">
        <v>220</v>
      </c>
      <c r="D41" s="4" t="s">
        <v>257</v>
      </c>
      <c r="E41" s="4" t="s">
        <v>222</v>
      </c>
      <c r="F41" s="4" t="s">
        <v>156</v>
      </c>
      <c r="G41" s="4" t="s">
        <v>157</v>
      </c>
      <c r="H41" s="4" t="s">
        <v>158</v>
      </c>
      <c r="I41" s="4" t="s">
        <v>180</v>
      </c>
      <c r="J41" s="4" t="n">
        <v>30</v>
      </c>
      <c r="K41" s="5" t="n">
        <v>10000</v>
      </c>
    </row>
    <row r="42" customFormat="false" ht="15" hidden="false" customHeight="false" outlineLevel="0" collapsed="false">
      <c r="A42" s="4" t="s">
        <v>56</v>
      </c>
      <c r="B42" s="4" t="s">
        <v>142</v>
      </c>
      <c r="C42" s="4" t="s">
        <v>220</v>
      </c>
      <c r="D42" s="4" t="s">
        <v>258</v>
      </c>
      <c r="E42" s="4" t="s">
        <v>222</v>
      </c>
      <c r="F42" s="4" t="s">
        <v>156</v>
      </c>
      <c r="G42" s="4" t="s">
        <v>157</v>
      </c>
      <c r="H42" s="4" t="s">
        <v>158</v>
      </c>
      <c r="I42" s="4" t="s">
        <v>190</v>
      </c>
      <c r="J42" s="4" t="n">
        <v>30</v>
      </c>
      <c r="K42" s="5" t="n">
        <v>4000</v>
      </c>
    </row>
    <row r="43" customFormat="false" ht="15" hidden="false" customHeight="false" outlineLevel="0" collapsed="false">
      <c r="A43" s="9" t="s">
        <v>66</v>
      </c>
      <c r="K43" s="10" t="n">
        <f aca="false">SUM(K2:K42)</f>
        <v>32337400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18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3" t="s">
        <v>2</v>
      </c>
      <c r="B1" s="3" t="s">
        <v>259</v>
      </c>
      <c r="C1" s="3" t="s">
        <v>147</v>
      </c>
      <c r="D1" s="3" t="s">
        <v>260</v>
      </c>
      <c r="E1" s="3" t="s">
        <v>148</v>
      </c>
      <c r="F1" s="3" t="s">
        <v>149</v>
      </c>
      <c r="G1" s="3" t="s">
        <v>261</v>
      </c>
      <c r="H1" s="3" t="s">
        <v>262</v>
      </c>
    </row>
    <row r="2" customFormat="false" ht="15" hidden="false" customHeight="false" outlineLevel="0" collapsed="false">
      <c r="A2" s="4" t="s">
        <v>22</v>
      </c>
      <c r="B2" s="4" t="s">
        <v>195</v>
      </c>
      <c r="C2" s="4" t="s">
        <v>197</v>
      </c>
      <c r="D2" s="4" t="s">
        <v>263</v>
      </c>
      <c r="E2" s="4"/>
      <c r="F2" s="4"/>
      <c r="G2" s="5" t="n">
        <v>0</v>
      </c>
      <c r="H2" s="4"/>
    </row>
    <row r="3" customFormat="false" ht="15" hidden="false" customHeight="false" outlineLevel="0" collapsed="false">
      <c r="A3" s="4" t="s">
        <v>22</v>
      </c>
      <c r="B3" s="4" t="s">
        <v>172</v>
      </c>
      <c r="C3" s="4" t="s">
        <v>174</v>
      </c>
      <c r="D3" s="4" t="s">
        <v>263</v>
      </c>
      <c r="E3" s="4"/>
      <c r="F3" s="4"/>
      <c r="G3" s="5" t="n">
        <v>0</v>
      </c>
      <c r="H3" s="4"/>
    </row>
    <row r="4" customFormat="false" ht="15" hidden="false" customHeight="false" outlineLevel="0" collapsed="false">
      <c r="A4" s="4" t="s">
        <v>22</v>
      </c>
      <c r="B4" s="4" t="s">
        <v>178</v>
      </c>
      <c r="C4" s="4" t="s">
        <v>174</v>
      </c>
      <c r="D4" s="4" t="s">
        <v>263</v>
      </c>
      <c r="E4" s="4"/>
      <c r="F4" s="4"/>
      <c r="G4" s="5" t="n">
        <v>0</v>
      </c>
      <c r="H4" s="4"/>
    </row>
    <row r="5" customFormat="false" ht="15" hidden="false" customHeight="false" outlineLevel="0" collapsed="false">
      <c r="A5" s="4" t="s">
        <v>22</v>
      </c>
      <c r="B5" s="4" t="s">
        <v>183</v>
      </c>
      <c r="C5" s="4" t="s">
        <v>185</v>
      </c>
      <c r="D5" s="4" t="s">
        <v>263</v>
      </c>
      <c r="E5" s="4"/>
      <c r="F5" s="4"/>
      <c r="G5" s="5" t="n">
        <v>0</v>
      </c>
      <c r="H5" s="4"/>
    </row>
    <row r="6" customFormat="false" ht="15" hidden="false" customHeight="false" outlineLevel="0" collapsed="false">
      <c r="A6" s="4" t="s">
        <v>22</v>
      </c>
      <c r="B6" s="4" t="s">
        <v>188</v>
      </c>
      <c r="C6" s="4" t="s">
        <v>185</v>
      </c>
      <c r="D6" s="4" t="s">
        <v>263</v>
      </c>
      <c r="E6" s="4"/>
      <c r="F6" s="4"/>
      <c r="G6" s="5" t="n">
        <v>0</v>
      </c>
      <c r="H6" s="4"/>
    </row>
    <row r="7" customFormat="false" ht="15" hidden="false" customHeight="false" outlineLevel="0" collapsed="false">
      <c r="A7" s="4" t="s">
        <v>22</v>
      </c>
      <c r="B7" s="4" t="s">
        <v>160</v>
      </c>
      <c r="C7" s="4" t="s">
        <v>162</v>
      </c>
      <c r="D7" s="4" t="s">
        <v>263</v>
      </c>
      <c r="E7" s="4"/>
      <c r="F7" s="4"/>
      <c r="G7" s="5" t="n">
        <v>0</v>
      </c>
      <c r="H7" s="4"/>
    </row>
    <row r="8" customFormat="false" ht="15" hidden="false" customHeight="false" outlineLevel="0" collapsed="false">
      <c r="A8" s="4" t="s">
        <v>22</v>
      </c>
      <c r="B8" s="4" t="s">
        <v>153</v>
      </c>
      <c r="C8" s="4" t="s">
        <v>155</v>
      </c>
      <c r="D8" s="4" t="s">
        <v>263</v>
      </c>
      <c r="E8" s="4"/>
      <c r="F8" s="4"/>
      <c r="G8" s="5" t="n">
        <v>0</v>
      </c>
      <c r="H8" s="4"/>
    </row>
    <row r="9" customFormat="false" ht="15" hidden="false" customHeight="false" outlineLevel="0" collapsed="false">
      <c r="A9" s="4" t="s">
        <v>22</v>
      </c>
      <c r="B9" s="4" t="s">
        <v>164</v>
      </c>
      <c r="C9" s="4" t="s">
        <v>166</v>
      </c>
      <c r="D9" s="4" t="s">
        <v>263</v>
      </c>
      <c r="E9" s="4"/>
      <c r="F9" s="4"/>
      <c r="G9" s="5" t="n">
        <v>0</v>
      </c>
      <c r="H9" s="4"/>
    </row>
    <row r="10" customFormat="false" ht="15" hidden="false" customHeight="false" outlineLevel="0" collapsed="false">
      <c r="A10" s="4" t="s">
        <v>33</v>
      </c>
      <c r="B10" s="4" t="s">
        <v>172</v>
      </c>
      <c r="C10" s="4" t="s">
        <v>174</v>
      </c>
      <c r="D10" s="4" t="s">
        <v>263</v>
      </c>
      <c r="E10" s="4"/>
      <c r="F10" s="4"/>
      <c r="G10" s="5" t="n">
        <v>0</v>
      </c>
      <c r="H10" s="4"/>
    </row>
    <row r="11" customFormat="false" ht="15" hidden="false" customHeight="false" outlineLevel="0" collapsed="false">
      <c r="A11" s="4" t="s">
        <v>33</v>
      </c>
      <c r="B11" s="4" t="s">
        <v>212</v>
      </c>
      <c r="C11" s="4" t="s">
        <v>174</v>
      </c>
      <c r="D11" s="4" t="s">
        <v>263</v>
      </c>
      <c r="E11" s="4"/>
      <c r="F11" s="4"/>
      <c r="G11" s="5" t="n">
        <v>0</v>
      </c>
      <c r="H11" s="4"/>
    </row>
    <row r="12" customFormat="false" ht="15" hidden="false" customHeight="false" outlineLevel="0" collapsed="false">
      <c r="A12" s="4" t="s">
        <v>33</v>
      </c>
      <c r="B12" s="4" t="s">
        <v>178</v>
      </c>
      <c r="C12" s="4" t="s">
        <v>174</v>
      </c>
      <c r="D12" s="4" t="s">
        <v>263</v>
      </c>
      <c r="E12" s="4"/>
      <c r="F12" s="4"/>
      <c r="G12" s="5" t="n">
        <v>0</v>
      </c>
      <c r="H12" s="4"/>
    </row>
    <row r="13" customFormat="false" ht="15" hidden="false" customHeight="false" outlineLevel="0" collapsed="false">
      <c r="A13" s="4" t="s">
        <v>33</v>
      </c>
      <c r="B13" s="4" t="s">
        <v>220</v>
      </c>
      <c r="C13" s="4" t="s">
        <v>222</v>
      </c>
      <c r="D13" s="4" t="s">
        <v>263</v>
      </c>
      <c r="E13" s="4"/>
      <c r="F13" s="4"/>
      <c r="G13" s="5" t="n">
        <v>0</v>
      </c>
      <c r="H13" s="4"/>
    </row>
    <row r="14" customFormat="false" ht="15" hidden="false" customHeight="false" outlineLevel="0" collapsed="false">
      <c r="A14" s="4" t="s">
        <v>33</v>
      </c>
      <c r="B14" s="4" t="s">
        <v>205</v>
      </c>
      <c r="C14" s="4" t="s">
        <v>264</v>
      </c>
      <c r="D14" s="4" t="s">
        <v>263</v>
      </c>
      <c r="E14" s="4"/>
      <c r="F14" s="4"/>
      <c r="G14" s="5" t="n">
        <v>0</v>
      </c>
      <c r="H14" s="4"/>
    </row>
    <row r="15" customFormat="false" ht="15" hidden="false" customHeight="false" outlineLevel="0" collapsed="false">
      <c r="A15" s="4" t="s">
        <v>33</v>
      </c>
      <c r="B15" s="4" t="s">
        <v>201</v>
      </c>
      <c r="C15" s="4" t="s">
        <v>264</v>
      </c>
      <c r="D15" s="4" t="s">
        <v>263</v>
      </c>
      <c r="E15" s="4"/>
      <c r="F15" s="4"/>
      <c r="G15" s="5" t="n">
        <v>0</v>
      </c>
      <c r="H15" s="4"/>
    </row>
    <row r="16" customFormat="false" ht="15" hidden="false" customHeight="false" outlineLevel="0" collapsed="false">
      <c r="A16" s="4" t="s">
        <v>33</v>
      </c>
      <c r="B16" s="4" t="s">
        <v>153</v>
      </c>
      <c r="C16" s="4" t="s">
        <v>155</v>
      </c>
      <c r="D16" s="4" t="s">
        <v>263</v>
      </c>
      <c r="E16" s="4"/>
      <c r="F16" s="4"/>
      <c r="G16" s="5" t="n">
        <v>0</v>
      </c>
      <c r="H16" s="4"/>
    </row>
    <row r="17" customFormat="false" ht="15" hidden="false" customHeight="false" outlineLevel="0" collapsed="false">
      <c r="A17" s="4" t="s">
        <v>45</v>
      </c>
      <c r="B17" s="4" t="s">
        <v>224</v>
      </c>
      <c r="C17" s="4" t="s">
        <v>162</v>
      </c>
      <c r="D17" s="4" t="s">
        <v>263</v>
      </c>
      <c r="E17" s="4"/>
      <c r="F17" s="4"/>
      <c r="G17" s="5" t="n">
        <v>0</v>
      </c>
      <c r="H17" s="4"/>
    </row>
    <row r="18" customFormat="false" ht="15" hidden="false" customHeight="false" outlineLevel="0" collapsed="false">
      <c r="A18" s="4" t="s">
        <v>45</v>
      </c>
      <c r="B18" s="4" t="s">
        <v>236</v>
      </c>
      <c r="C18" s="4" t="s">
        <v>229</v>
      </c>
      <c r="D18" s="4" t="s">
        <v>263</v>
      </c>
      <c r="E18" s="4"/>
      <c r="F18" s="4"/>
      <c r="G18" s="5" t="n">
        <v>0</v>
      </c>
      <c r="H18" s="4"/>
    </row>
    <row r="19" customFormat="false" ht="15" hidden="false" customHeight="false" outlineLevel="0" collapsed="false">
      <c r="A19" s="4" t="s">
        <v>45</v>
      </c>
      <c r="B19" s="4" t="s">
        <v>227</v>
      </c>
      <c r="C19" s="4" t="s">
        <v>229</v>
      </c>
      <c r="D19" s="4" t="s">
        <v>263</v>
      </c>
      <c r="E19" s="4"/>
      <c r="F19" s="4"/>
      <c r="G19" s="5" t="n">
        <v>0</v>
      </c>
      <c r="H19" s="4"/>
    </row>
    <row r="20" customFormat="false" ht="15" hidden="false" customHeight="false" outlineLevel="0" collapsed="false">
      <c r="A20" s="4" t="s">
        <v>45</v>
      </c>
      <c r="B20" s="4" t="s">
        <v>195</v>
      </c>
      <c r="C20" s="4" t="s">
        <v>197</v>
      </c>
      <c r="D20" s="4" t="s">
        <v>263</v>
      </c>
      <c r="E20" s="4"/>
      <c r="F20" s="4"/>
      <c r="G20" s="5" t="n">
        <v>0</v>
      </c>
      <c r="H20" s="4"/>
    </row>
    <row r="21" customFormat="false" ht="15" hidden="false" customHeight="false" outlineLevel="0" collapsed="false">
      <c r="A21" s="4" t="s">
        <v>45</v>
      </c>
      <c r="B21" s="4" t="s">
        <v>240</v>
      </c>
      <c r="C21" s="4" t="s">
        <v>222</v>
      </c>
      <c r="D21" s="4" t="s">
        <v>263</v>
      </c>
      <c r="E21" s="4"/>
      <c r="F21" s="4"/>
      <c r="G21" s="5" t="n">
        <v>0</v>
      </c>
      <c r="H21" s="4"/>
    </row>
    <row r="22" customFormat="false" ht="15" hidden="false" customHeight="false" outlineLevel="0" collapsed="false">
      <c r="A22" s="4" t="s">
        <v>45</v>
      </c>
      <c r="B22" s="4" t="s">
        <v>220</v>
      </c>
      <c r="C22" s="4" t="s">
        <v>222</v>
      </c>
      <c r="D22" s="4" t="s">
        <v>263</v>
      </c>
      <c r="E22" s="4"/>
      <c r="F22" s="4"/>
      <c r="G22" s="5" t="n">
        <v>0</v>
      </c>
      <c r="H22" s="4"/>
    </row>
    <row r="23" customFormat="false" ht="15" hidden="false" customHeight="false" outlineLevel="0" collapsed="false">
      <c r="A23" s="4" t="s">
        <v>45</v>
      </c>
      <c r="B23" s="4" t="s">
        <v>231</v>
      </c>
      <c r="C23" s="4" t="s">
        <v>233</v>
      </c>
      <c r="D23" s="4" t="s">
        <v>263</v>
      </c>
      <c r="E23" s="4"/>
      <c r="F23" s="4"/>
      <c r="G23" s="5" t="n">
        <v>0</v>
      </c>
      <c r="H23" s="4"/>
    </row>
    <row r="24" customFormat="false" ht="15" hidden="false" customHeight="false" outlineLevel="0" collapsed="false">
      <c r="A24" s="4" t="s">
        <v>56</v>
      </c>
      <c r="B24" s="4" t="s">
        <v>245</v>
      </c>
      <c r="C24" s="4" t="s">
        <v>203</v>
      </c>
      <c r="D24" s="4" t="s">
        <v>263</v>
      </c>
      <c r="E24" s="4"/>
      <c r="F24" s="4"/>
      <c r="G24" s="5" t="n">
        <v>0</v>
      </c>
      <c r="H24" s="4"/>
    </row>
    <row r="25" customFormat="false" ht="15" hidden="false" customHeight="false" outlineLevel="0" collapsed="false">
      <c r="A25" s="4" t="s">
        <v>56</v>
      </c>
      <c r="B25" s="4" t="s">
        <v>224</v>
      </c>
      <c r="C25" s="4" t="s">
        <v>162</v>
      </c>
      <c r="D25" s="4" t="s">
        <v>263</v>
      </c>
      <c r="E25" s="4"/>
      <c r="F25" s="4"/>
      <c r="G25" s="5" t="n">
        <v>0</v>
      </c>
      <c r="H25" s="4"/>
    </row>
    <row r="26" customFormat="false" ht="15" hidden="false" customHeight="false" outlineLevel="0" collapsed="false">
      <c r="A26" s="4" t="s">
        <v>56</v>
      </c>
      <c r="B26" s="4" t="s">
        <v>240</v>
      </c>
      <c r="C26" s="4" t="s">
        <v>222</v>
      </c>
      <c r="D26" s="4" t="s">
        <v>263</v>
      </c>
      <c r="E26" s="4"/>
      <c r="F26" s="4"/>
      <c r="G26" s="5" t="n">
        <v>0</v>
      </c>
      <c r="H26" s="4"/>
    </row>
    <row r="27" customFormat="false" ht="15" hidden="false" customHeight="false" outlineLevel="0" collapsed="false">
      <c r="A27" s="4" t="s">
        <v>56</v>
      </c>
      <c r="B27" s="4" t="s">
        <v>254</v>
      </c>
      <c r="C27" s="4" t="s">
        <v>222</v>
      </c>
      <c r="D27" s="4" t="s">
        <v>263</v>
      </c>
      <c r="E27" s="4"/>
      <c r="F27" s="4"/>
      <c r="G27" s="5" t="n">
        <v>0</v>
      </c>
      <c r="H27" s="4"/>
    </row>
    <row r="28" customFormat="false" ht="15" hidden="false" customHeight="false" outlineLevel="0" collapsed="false">
      <c r="A28" s="4" t="s">
        <v>56</v>
      </c>
      <c r="B28" s="4" t="s">
        <v>220</v>
      </c>
      <c r="C28" s="4" t="s">
        <v>222</v>
      </c>
      <c r="D28" s="4" t="s">
        <v>263</v>
      </c>
      <c r="E28" s="4"/>
      <c r="F28" s="4"/>
      <c r="G28" s="5" t="n">
        <v>0</v>
      </c>
      <c r="H28" s="4"/>
    </row>
    <row r="29" customFormat="false" ht="15" hidden="false" customHeight="false" outlineLevel="0" collapsed="false">
      <c r="A29" s="4" t="s">
        <v>56</v>
      </c>
      <c r="B29" s="4" t="s">
        <v>164</v>
      </c>
      <c r="C29" s="4" t="s">
        <v>166</v>
      </c>
      <c r="D29" s="4" t="s">
        <v>263</v>
      </c>
      <c r="E29" s="4"/>
      <c r="F29" s="4"/>
      <c r="G29" s="5" t="n">
        <v>0</v>
      </c>
      <c r="H2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13"/>
    <col collapsed="false" customWidth="true" hidden="false" outlineLevel="0" max="6" min="6" style="0" width="30"/>
    <col collapsed="false" customWidth="true" hidden="false" outlineLevel="0" max="8" min="7" style="0" width="16"/>
  </cols>
  <sheetData>
    <row r="1" customFormat="false" ht="15" hidden="false" customHeight="false" outlineLevel="0" collapsed="false">
      <c r="A1" s="3" t="s">
        <v>2</v>
      </c>
      <c r="B1" s="3" t="s">
        <v>265</v>
      </c>
      <c r="C1" s="3" t="s">
        <v>147</v>
      </c>
      <c r="D1" s="3" t="s">
        <v>260</v>
      </c>
      <c r="E1" s="3" t="s">
        <v>148</v>
      </c>
      <c r="F1" s="3" t="s">
        <v>149</v>
      </c>
      <c r="G1" s="3" t="s">
        <v>266</v>
      </c>
      <c r="H1" s="3" t="s">
        <v>267</v>
      </c>
    </row>
    <row r="2" customFormat="false" ht="15" hidden="false" customHeight="false" outlineLevel="0" collapsed="false">
      <c r="A2" s="4" t="s">
        <v>22</v>
      </c>
      <c r="B2" s="4" t="s">
        <v>268</v>
      </c>
      <c r="C2" s="4" t="s">
        <v>203</v>
      </c>
      <c r="D2" s="4" t="s">
        <v>269</v>
      </c>
      <c r="E2" s="4" t="s">
        <v>270</v>
      </c>
      <c r="F2" s="4" t="s">
        <v>271</v>
      </c>
      <c r="G2" s="5" t="n">
        <v>2100000</v>
      </c>
      <c r="H2" s="5" t="n">
        <v>0</v>
      </c>
    </row>
    <row r="3" customFormat="false" ht="15" hidden="false" customHeight="false" outlineLevel="0" collapsed="false">
      <c r="A3" s="4" t="s">
        <v>22</v>
      </c>
      <c r="B3" s="4" t="s">
        <v>268</v>
      </c>
      <c r="C3" s="4" t="s">
        <v>203</v>
      </c>
      <c r="D3" s="4" t="s">
        <v>269</v>
      </c>
      <c r="E3" s="4" t="s">
        <v>156</v>
      </c>
      <c r="F3" s="4" t="s">
        <v>157</v>
      </c>
      <c r="G3" s="5" t="n">
        <v>0</v>
      </c>
      <c r="H3" s="5" t="n">
        <v>2100000</v>
      </c>
    </row>
    <row r="4" customFormat="false" ht="15" hidden="false" customHeight="false" outlineLevel="0" collapsed="false">
      <c r="A4" s="4" t="s">
        <v>22</v>
      </c>
      <c r="B4" s="4" t="s">
        <v>272</v>
      </c>
      <c r="C4" s="4" t="s">
        <v>155</v>
      </c>
      <c r="D4" s="4" t="s">
        <v>269</v>
      </c>
      <c r="E4" s="4" t="s">
        <v>270</v>
      </c>
      <c r="F4" s="4" t="s">
        <v>271</v>
      </c>
      <c r="G4" s="5" t="n">
        <v>750000</v>
      </c>
      <c r="H4" s="5" t="n">
        <v>0</v>
      </c>
    </row>
    <row r="5" customFormat="false" ht="15" hidden="false" customHeight="false" outlineLevel="0" collapsed="false">
      <c r="A5" s="4" t="s">
        <v>22</v>
      </c>
      <c r="B5" s="4" t="s">
        <v>272</v>
      </c>
      <c r="C5" s="4" t="s">
        <v>155</v>
      </c>
      <c r="D5" s="4" t="s">
        <v>269</v>
      </c>
      <c r="E5" s="4" t="s">
        <v>156</v>
      </c>
      <c r="F5" s="4" t="s">
        <v>157</v>
      </c>
      <c r="G5" s="5" t="n">
        <v>0</v>
      </c>
      <c r="H5" s="5" t="n">
        <v>750000</v>
      </c>
    </row>
    <row r="6" customFormat="false" ht="15" hidden="false" customHeight="false" outlineLevel="0" collapsed="false">
      <c r="A6" s="4" t="s">
        <v>22</v>
      </c>
      <c r="B6" s="4" t="s">
        <v>273</v>
      </c>
      <c r="C6" s="4" t="s">
        <v>162</v>
      </c>
      <c r="D6" s="4" t="s">
        <v>269</v>
      </c>
      <c r="E6" s="4" t="s">
        <v>270</v>
      </c>
      <c r="F6" s="4" t="s">
        <v>271</v>
      </c>
      <c r="G6" s="5" t="n">
        <v>50000</v>
      </c>
      <c r="H6" s="5" t="n">
        <v>0</v>
      </c>
    </row>
    <row r="7" customFormat="false" ht="15" hidden="false" customHeight="false" outlineLevel="0" collapsed="false">
      <c r="A7" s="4" t="s">
        <v>22</v>
      </c>
      <c r="B7" s="4" t="s">
        <v>273</v>
      </c>
      <c r="C7" s="4" t="s">
        <v>162</v>
      </c>
      <c r="D7" s="4" t="s">
        <v>269</v>
      </c>
      <c r="E7" s="4" t="s">
        <v>156</v>
      </c>
      <c r="F7" s="4" t="s">
        <v>157</v>
      </c>
      <c r="G7" s="5" t="n">
        <v>0</v>
      </c>
      <c r="H7" s="5" t="n">
        <v>50000</v>
      </c>
    </row>
    <row r="8" customFormat="false" ht="15" hidden="false" customHeight="false" outlineLevel="0" collapsed="false">
      <c r="A8" s="4" t="s">
        <v>22</v>
      </c>
      <c r="B8" s="4" t="s">
        <v>274</v>
      </c>
      <c r="C8" s="4" t="s">
        <v>166</v>
      </c>
      <c r="D8" s="4" t="s">
        <v>269</v>
      </c>
      <c r="E8" s="4" t="s">
        <v>270</v>
      </c>
      <c r="F8" s="4" t="s">
        <v>271</v>
      </c>
      <c r="G8" s="5" t="n">
        <v>20000</v>
      </c>
      <c r="H8" s="5" t="n">
        <v>0</v>
      </c>
    </row>
    <row r="9" customFormat="false" ht="15" hidden="false" customHeight="false" outlineLevel="0" collapsed="false">
      <c r="A9" s="4" t="s">
        <v>22</v>
      </c>
      <c r="B9" s="4" t="s">
        <v>274</v>
      </c>
      <c r="C9" s="4" t="s">
        <v>166</v>
      </c>
      <c r="D9" s="4" t="s">
        <v>269</v>
      </c>
      <c r="E9" s="4" t="s">
        <v>156</v>
      </c>
      <c r="F9" s="4" t="s">
        <v>157</v>
      </c>
      <c r="G9" s="5" t="n">
        <v>0</v>
      </c>
      <c r="H9" s="5" t="n">
        <v>20000</v>
      </c>
    </row>
    <row r="10" customFormat="false" ht="15" hidden="false" customHeight="false" outlineLevel="0" collapsed="false">
      <c r="A10" s="4" t="s">
        <v>22</v>
      </c>
      <c r="B10" s="4" t="s">
        <v>275</v>
      </c>
      <c r="C10" s="4" t="s">
        <v>166</v>
      </c>
      <c r="D10" s="4" t="s">
        <v>269</v>
      </c>
      <c r="E10" s="4" t="s">
        <v>270</v>
      </c>
      <c r="F10" s="4" t="s">
        <v>271</v>
      </c>
      <c r="G10" s="5" t="n">
        <v>60000</v>
      </c>
      <c r="H10" s="5" t="n">
        <v>0</v>
      </c>
    </row>
    <row r="11" customFormat="false" ht="15" hidden="false" customHeight="false" outlineLevel="0" collapsed="false">
      <c r="A11" s="4" t="s">
        <v>22</v>
      </c>
      <c r="B11" s="4" t="s">
        <v>275</v>
      </c>
      <c r="C11" s="4" t="s">
        <v>166</v>
      </c>
      <c r="D11" s="4" t="s">
        <v>269</v>
      </c>
      <c r="E11" s="4" t="s">
        <v>156</v>
      </c>
      <c r="F11" s="4" t="s">
        <v>157</v>
      </c>
      <c r="G11" s="5" t="n">
        <v>0</v>
      </c>
      <c r="H11" s="5" t="n">
        <v>60000</v>
      </c>
    </row>
    <row r="12" customFormat="false" ht="15" hidden="false" customHeight="false" outlineLevel="0" collapsed="false">
      <c r="A12" s="4" t="s">
        <v>22</v>
      </c>
      <c r="B12" s="4" t="s">
        <v>276</v>
      </c>
      <c r="C12" s="4" t="s">
        <v>166</v>
      </c>
      <c r="D12" s="4" t="s">
        <v>269</v>
      </c>
      <c r="E12" s="4" t="s">
        <v>270</v>
      </c>
      <c r="F12" s="4" t="s">
        <v>271</v>
      </c>
      <c r="G12" s="5" t="n">
        <v>90000</v>
      </c>
      <c r="H12" s="5" t="n">
        <v>0</v>
      </c>
    </row>
    <row r="13" customFormat="false" ht="15" hidden="false" customHeight="false" outlineLevel="0" collapsed="false">
      <c r="A13" s="4" t="s">
        <v>22</v>
      </c>
      <c r="B13" s="4" t="s">
        <v>276</v>
      </c>
      <c r="C13" s="4" t="s">
        <v>166</v>
      </c>
      <c r="D13" s="4" t="s">
        <v>269</v>
      </c>
      <c r="E13" s="4" t="s">
        <v>156</v>
      </c>
      <c r="F13" s="4" t="s">
        <v>157</v>
      </c>
      <c r="G13" s="5" t="n">
        <v>0</v>
      </c>
      <c r="H13" s="5" t="n">
        <v>90000</v>
      </c>
    </row>
    <row r="14" customFormat="false" ht="15" hidden="false" customHeight="false" outlineLevel="0" collapsed="false">
      <c r="A14" s="4" t="s">
        <v>22</v>
      </c>
      <c r="B14" s="4" t="s">
        <v>277</v>
      </c>
      <c r="C14" s="4" t="s">
        <v>174</v>
      </c>
      <c r="D14" s="4" t="s">
        <v>269</v>
      </c>
      <c r="E14" s="4" t="s">
        <v>278</v>
      </c>
      <c r="F14" s="4" t="s">
        <v>279</v>
      </c>
      <c r="G14" s="5" t="n">
        <v>2872000</v>
      </c>
      <c r="H14" s="5" t="n">
        <v>0</v>
      </c>
    </row>
    <row r="15" customFormat="false" ht="15" hidden="false" customHeight="false" outlineLevel="0" collapsed="false">
      <c r="A15" s="4" t="s">
        <v>22</v>
      </c>
      <c r="B15" s="4" t="s">
        <v>277</v>
      </c>
      <c r="C15" s="4" t="s">
        <v>174</v>
      </c>
      <c r="D15" s="4" t="s">
        <v>269</v>
      </c>
      <c r="E15" s="4" t="s">
        <v>175</v>
      </c>
      <c r="F15" s="4" t="s">
        <v>176</v>
      </c>
      <c r="G15" s="5" t="n">
        <v>0</v>
      </c>
      <c r="H15" s="5" t="n">
        <v>2872000</v>
      </c>
    </row>
    <row r="16" customFormat="false" ht="15" hidden="false" customHeight="false" outlineLevel="0" collapsed="false">
      <c r="A16" s="4" t="s">
        <v>22</v>
      </c>
      <c r="B16" s="4" t="s">
        <v>280</v>
      </c>
      <c r="C16" s="4" t="s">
        <v>174</v>
      </c>
      <c r="D16" s="4" t="s">
        <v>269</v>
      </c>
      <c r="E16" s="4" t="s">
        <v>270</v>
      </c>
      <c r="F16" s="4" t="s">
        <v>271</v>
      </c>
      <c r="G16" s="5" t="n">
        <v>6000</v>
      </c>
      <c r="H16" s="5" t="n">
        <v>0</v>
      </c>
    </row>
    <row r="17" customFormat="false" ht="15" hidden="false" customHeight="false" outlineLevel="0" collapsed="false">
      <c r="A17" s="4" t="s">
        <v>22</v>
      </c>
      <c r="B17" s="4" t="s">
        <v>280</v>
      </c>
      <c r="C17" s="4" t="s">
        <v>174</v>
      </c>
      <c r="D17" s="4" t="s">
        <v>269</v>
      </c>
      <c r="E17" s="4" t="s">
        <v>156</v>
      </c>
      <c r="F17" s="4" t="s">
        <v>157</v>
      </c>
      <c r="G17" s="5" t="n">
        <v>0</v>
      </c>
      <c r="H17" s="5" t="n">
        <v>6000</v>
      </c>
    </row>
    <row r="18" customFormat="false" ht="15" hidden="false" customHeight="false" outlineLevel="0" collapsed="false">
      <c r="A18" s="4" t="s">
        <v>22</v>
      </c>
      <c r="B18" s="4" t="s">
        <v>281</v>
      </c>
      <c r="C18" s="4" t="s">
        <v>185</v>
      </c>
      <c r="D18" s="4" t="s">
        <v>269</v>
      </c>
      <c r="E18" s="4" t="s">
        <v>282</v>
      </c>
      <c r="F18" s="4" t="s">
        <v>283</v>
      </c>
      <c r="G18" s="5" t="n">
        <v>1296250</v>
      </c>
      <c r="H18" s="5" t="n">
        <v>0</v>
      </c>
    </row>
    <row r="19" customFormat="false" ht="15" hidden="false" customHeight="false" outlineLevel="0" collapsed="false">
      <c r="A19" s="4" t="s">
        <v>22</v>
      </c>
      <c r="B19" s="4" t="s">
        <v>281</v>
      </c>
      <c r="C19" s="4" t="s">
        <v>185</v>
      </c>
      <c r="D19" s="4" t="s">
        <v>269</v>
      </c>
      <c r="E19" s="4" t="s">
        <v>284</v>
      </c>
      <c r="F19" s="4" t="s">
        <v>285</v>
      </c>
      <c r="G19" s="5" t="n">
        <v>0</v>
      </c>
      <c r="H19" s="5" t="n">
        <v>1296250</v>
      </c>
    </row>
    <row r="20" customFormat="false" ht="15" hidden="false" customHeight="false" outlineLevel="0" collapsed="false">
      <c r="A20" s="4" t="s">
        <v>22</v>
      </c>
      <c r="B20" s="4" t="s">
        <v>281</v>
      </c>
      <c r="C20" s="4" t="s">
        <v>185</v>
      </c>
      <c r="D20" s="4" t="s">
        <v>269</v>
      </c>
      <c r="E20" s="4" t="s">
        <v>282</v>
      </c>
      <c r="F20" s="4" t="s">
        <v>283</v>
      </c>
      <c r="G20" s="5" t="n">
        <v>0</v>
      </c>
      <c r="H20" s="5" t="n">
        <v>0</v>
      </c>
    </row>
    <row r="21" customFormat="false" ht="15" hidden="false" customHeight="false" outlineLevel="0" collapsed="false">
      <c r="A21" s="4" t="s">
        <v>22</v>
      </c>
      <c r="B21" s="4" t="s">
        <v>281</v>
      </c>
      <c r="C21" s="4" t="s">
        <v>185</v>
      </c>
      <c r="D21" s="4" t="s">
        <v>269</v>
      </c>
      <c r="E21" s="4" t="s">
        <v>284</v>
      </c>
      <c r="F21" s="4" t="s">
        <v>285</v>
      </c>
      <c r="G21" s="5" t="n">
        <v>0</v>
      </c>
      <c r="H21" s="5" t="n">
        <v>0</v>
      </c>
    </row>
    <row r="22" customFormat="false" ht="15" hidden="false" customHeight="false" outlineLevel="0" collapsed="false">
      <c r="A22" s="4" t="s">
        <v>22</v>
      </c>
      <c r="B22" s="4" t="s">
        <v>281</v>
      </c>
      <c r="C22" s="4" t="s">
        <v>185</v>
      </c>
      <c r="D22" s="4" t="s">
        <v>269</v>
      </c>
      <c r="E22" s="4" t="s">
        <v>282</v>
      </c>
      <c r="F22" s="4" t="s">
        <v>283</v>
      </c>
      <c r="G22" s="5" t="n">
        <v>1296250</v>
      </c>
      <c r="H22" s="5" t="n">
        <v>0</v>
      </c>
    </row>
    <row r="23" customFormat="false" ht="15" hidden="false" customHeight="false" outlineLevel="0" collapsed="false">
      <c r="A23" s="4" t="s">
        <v>22</v>
      </c>
      <c r="B23" s="4" t="s">
        <v>281</v>
      </c>
      <c r="C23" s="4" t="s">
        <v>185</v>
      </c>
      <c r="D23" s="4" t="s">
        <v>269</v>
      </c>
      <c r="E23" s="4" t="s">
        <v>284</v>
      </c>
      <c r="F23" s="4" t="s">
        <v>285</v>
      </c>
      <c r="G23" s="5" t="n">
        <v>0</v>
      </c>
      <c r="H23" s="5" t="n">
        <v>1296250</v>
      </c>
    </row>
    <row r="24" customFormat="false" ht="15" hidden="false" customHeight="false" outlineLevel="0" collapsed="false">
      <c r="A24" s="4" t="s">
        <v>22</v>
      </c>
      <c r="B24" s="4" t="s">
        <v>281</v>
      </c>
      <c r="C24" s="4" t="s">
        <v>185</v>
      </c>
      <c r="D24" s="4" t="s">
        <v>269</v>
      </c>
      <c r="E24" s="4" t="s">
        <v>282</v>
      </c>
      <c r="F24" s="4" t="s">
        <v>283</v>
      </c>
      <c r="G24" s="5" t="n">
        <v>0</v>
      </c>
      <c r="H24" s="5" t="n">
        <v>0</v>
      </c>
    </row>
    <row r="25" customFormat="false" ht="15" hidden="false" customHeight="false" outlineLevel="0" collapsed="false">
      <c r="A25" s="4" t="s">
        <v>22</v>
      </c>
      <c r="B25" s="4" t="s">
        <v>281</v>
      </c>
      <c r="C25" s="4" t="s">
        <v>185</v>
      </c>
      <c r="D25" s="4" t="s">
        <v>269</v>
      </c>
      <c r="E25" s="4" t="s">
        <v>284</v>
      </c>
      <c r="F25" s="4" t="s">
        <v>285</v>
      </c>
      <c r="G25" s="5" t="n">
        <v>0</v>
      </c>
      <c r="H25" s="5" t="n">
        <v>0</v>
      </c>
    </row>
    <row r="26" customFormat="false" ht="15" hidden="false" customHeight="false" outlineLevel="0" collapsed="false">
      <c r="A26" s="4" t="s">
        <v>22</v>
      </c>
      <c r="B26" s="4" t="s">
        <v>281</v>
      </c>
      <c r="C26" s="4" t="s">
        <v>185</v>
      </c>
      <c r="D26" s="4" t="s">
        <v>269</v>
      </c>
      <c r="E26" s="4" t="s">
        <v>282</v>
      </c>
      <c r="F26" s="4" t="s">
        <v>283</v>
      </c>
      <c r="G26" s="5" t="n">
        <v>1296250</v>
      </c>
      <c r="H26" s="5" t="n">
        <v>0</v>
      </c>
    </row>
    <row r="27" customFormat="false" ht="15" hidden="false" customHeight="false" outlineLevel="0" collapsed="false">
      <c r="A27" s="4" t="s">
        <v>22</v>
      </c>
      <c r="B27" s="4" t="s">
        <v>281</v>
      </c>
      <c r="C27" s="4" t="s">
        <v>185</v>
      </c>
      <c r="D27" s="4" t="s">
        <v>269</v>
      </c>
      <c r="E27" s="4" t="s">
        <v>284</v>
      </c>
      <c r="F27" s="4" t="s">
        <v>285</v>
      </c>
      <c r="G27" s="5" t="n">
        <v>0</v>
      </c>
      <c r="H27" s="5" t="n">
        <v>1296250</v>
      </c>
    </row>
    <row r="28" customFormat="false" ht="15" hidden="false" customHeight="false" outlineLevel="0" collapsed="false">
      <c r="A28" s="4" t="s">
        <v>22</v>
      </c>
      <c r="B28" s="4" t="s">
        <v>281</v>
      </c>
      <c r="C28" s="4" t="s">
        <v>185</v>
      </c>
      <c r="D28" s="4" t="s">
        <v>269</v>
      </c>
      <c r="E28" s="4" t="s">
        <v>282</v>
      </c>
      <c r="F28" s="4" t="s">
        <v>283</v>
      </c>
      <c r="G28" s="5" t="n">
        <v>0</v>
      </c>
      <c r="H28" s="5" t="n">
        <v>0</v>
      </c>
    </row>
    <row r="29" customFormat="false" ht="15" hidden="false" customHeight="false" outlineLevel="0" collapsed="false">
      <c r="A29" s="4" t="s">
        <v>22</v>
      </c>
      <c r="B29" s="4" t="s">
        <v>281</v>
      </c>
      <c r="C29" s="4" t="s">
        <v>185</v>
      </c>
      <c r="D29" s="4" t="s">
        <v>269</v>
      </c>
      <c r="E29" s="4" t="s">
        <v>284</v>
      </c>
      <c r="F29" s="4" t="s">
        <v>285</v>
      </c>
      <c r="G29" s="5" t="n">
        <v>0</v>
      </c>
      <c r="H29" s="5" t="n">
        <v>0</v>
      </c>
    </row>
    <row r="30" customFormat="false" ht="15" hidden="false" customHeight="false" outlineLevel="0" collapsed="false">
      <c r="A30" s="4" t="s">
        <v>22</v>
      </c>
      <c r="B30" s="4" t="s">
        <v>286</v>
      </c>
      <c r="C30" s="4" t="s">
        <v>185</v>
      </c>
      <c r="D30" s="4" t="s">
        <v>269</v>
      </c>
      <c r="E30" s="4" t="s">
        <v>287</v>
      </c>
      <c r="F30" s="4" t="s">
        <v>288</v>
      </c>
      <c r="G30" s="5" t="n">
        <v>1909000</v>
      </c>
      <c r="H30" s="5" t="n">
        <v>0</v>
      </c>
    </row>
    <row r="31" customFormat="false" ht="15" hidden="false" customHeight="false" outlineLevel="0" collapsed="false">
      <c r="A31" s="4" t="s">
        <v>22</v>
      </c>
      <c r="B31" s="4" t="s">
        <v>286</v>
      </c>
      <c r="C31" s="4" t="s">
        <v>185</v>
      </c>
      <c r="D31" s="4" t="s">
        <v>269</v>
      </c>
      <c r="E31" s="4" t="s">
        <v>186</v>
      </c>
      <c r="F31" s="4" t="s">
        <v>187</v>
      </c>
      <c r="G31" s="5" t="n">
        <v>0</v>
      </c>
      <c r="H31" s="5" t="n">
        <v>1909000</v>
      </c>
    </row>
    <row r="32" customFormat="false" ht="15" hidden="false" customHeight="false" outlineLevel="0" collapsed="false">
      <c r="A32" s="4" t="s">
        <v>22</v>
      </c>
      <c r="B32" s="4" t="s">
        <v>289</v>
      </c>
      <c r="C32" s="4" t="s">
        <v>185</v>
      </c>
      <c r="D32" s="4" t="s">
        <v>269</v>
      </c>
      <c r="E32" s="4" t="s">
        <v>270</v>
      </c>
      <c r="F32" s="4" t="s">
        <v>271</v>
      </c>
      <c r="G32" s="5" t="n">
        <v>6000</v>
      </c>
      <c r="H32" s="5" t="n">
        <v>0</v>
      </c>
    </row>
    <row r="33" customFormat="false" ht="15" hidden="false" customHeight="false" outlineLevel="0" collapsed="false">
      <c r="A33" s="4" t="s">
        <v>22</v>
      </c>
      <c r="B33" s="4" t="s">
        <v>289</v>
      </c>
      <c r="C33" s="4" t="s">
        <v>185</v>
      </c>
      <c r="D33" s="4" t="s">
        <v>269</v>
      </c>
      <c r="E33" s="4" t="s">
        <v>156</v>
      </c>
      <c r="F33" s="4" t="s">
        <v>157</v>
      </c>
      <c r="G33" s="5" t="n">
        <v>0</v>
      </c>
      <c r="H33" s="5" t="n">
        <v>6000</v>
      </c>
    </row>
    <row r="34" customFormat="false" ht="15" hidden="false" customHeight="false" outlineLevel="0" collapsed="false">
      <c r="A34" s="4" t="s">
        <v>22</v>
      </c>
      <c r="B34" s="4" t="s">
        <v>290</v>
      </c>
      <c r="C34" s="4" t="s">
        <v>185</v>
      </c>
      <c r="D34" s="4" t="s">
        <v>269</v>
      </c>
      <c r="E34" s="4" t="s">
        <v>270</v>
      </c>
      <c r="F34" s="4" t="s">
        <v>271</v>
      </c>
      <c r="G34" s="5" t="n">
        <v>4000</v>
      </c>
      <c r="H34" s="5" t="n">
        <v>0</v>
      </c>
    </row>
    <row r="35" customFormat="false" ht="15" hidden="false" customHeight="false" outlineLevel="0" collapsed="false">
      <c r="A35" s="4" t="s">
        <v>22</v>
      </c>
      <c r="B35" s="4" t="s">
        <v>290</v>
      </c>
      <c r="C35" s="4" t="s">
        <v>185</v>
      </c>
      <c r="D35" s="4" t="s">
        <v>269</v>
      </c>
      <c r="E35" s="4" t="s">
        <v>156</v>
      </c>
      <c r="F35" s="4" t="s">
        <v>157</v>
      </c>
      <c r="G35" s="5" t="n">
        <v>0</v>
      </c>
      <c r="H35" s="5" t="n">
        <v>4000</v>
      </c>
    </row>
    <row r="36" customFormat="false" ht="15" hidden="false" customHeight="false" outlineLevel="0" collapsed="false">
      <c r="A36" s="4" t="s">
        <v>22</v>
      </c>
      <c r="B36" s="4" t="s">
        <v>291</v>
      </c>
      <c r="C36" s="4" t="s">
        <v>185</v>
      </c>
      <c r="D36" s="4" t="s">
        <v>269</v>
      </c>
      <c r="E36" s="4" t="s">
        <v>270</v>
      </c>
      <c r="F36" s="4" t="s">
        <v>271</v>
      </c>
      <c r="G36" s="5" t="n">
        <v>40000</v>
      </c>
      <c r="H36" s="5" t="n">
        <v>0</v>
      </c>
    </row>
    <row r="37" customFormat="false" ht="15" hidden="false" customHeight="false" outlineLevel="0" collapsed="false">
      <c r="A37" s="4" t="s">
        <v>22</v>
      </c>
      <c r="B37" s="4" t="s">
        <v>291</v>
      </c>
      <c r="C37" s="4" t="s">
        <v>185</v>
      </c>
      <c r="D37" s="4" t="s">
        <v>269</v>
      </c>
      <c r="E37" s="4" t="s">
        <v>156</v>
      </c>
      <c r="F37" s="4" t="s">
        <v>157</v>
      </c>
      <c r="G37" s="5" t="n">
        <v>0</v>
      </c>
      <c r="H37" s="5" t="n">
        <v>40000</v>
      </c>
    </row>
    <row r="38" customFormat="false" ht="15" hidden="false" customHeight="false" outlineLevel="0" collapsed="false">
      <c r="A38" s="4" t="s">
        <v>22</v>
      </c>
      <c r="B38" s="4" t="s">
        <v>292</v>
      </c>
      <c r="C38" s="4" t="s">
        <v>197</v>
      </c>
      <c r="D38" s="4" t="s">
        <v>269</v>
      </c>
      <c r="E38" s="4" t="s">
        <v>270</v>
      </c>
      <c r="F38" s="4" t="s">
        <v>271</v>
      </c>
      <c r="G38" s="5" t="n">
        <v>100000</v>
      </c>
      <c r="H38" s="5" t="n">
        <v>0</v>
      </c>
    </row>
    <row r="39" customFormat="false" ht="15" hidden="false" customHeight="false" outlineLevel="0" collapsed="false">
      <c r="A39" s="4" t="s">
        <v>22</v>
      </c>
      <c r="B39" s="4" t="s">
        <v>292</v>
      </c>
      <c r="C39" s="4" t="s">
        <v>197</v>
      </c>
      <c r="D39" s="4" t="s">
        <v>269</v>
      </c>
      <c r="E39" s="4" t="s">
        <v>156</v>
      </c>
      <c r="F39" s="4" t="s">
        <v>157</v>
      </c>
      <c r="G39" s="5" t="n">
        <v>0</v>
      </c>
      <c r="H39" s="5" t="n">
        <v>100000</v>
      </c>
    </row>
    <row r="40" customFormat="false" ht="15" hidden="false" customHeight="false" outlineLevel="0" collapsed="false">
      <c r="A40" s="4" t="s">
        <v>33</v>
      </c>
      <c r="B40" s="4" t="s">
        <v>293</v>
      </c>
      <c r="C40" s="4" t="s">
        <v>203</v>
      </c>
      <c r="D40" s="4" t="s">
        <v>269</v>
      </c>
      <c r="E40" s="4" t="s">
        <v>270</v>
      </c>
      <c r="F40" s="4" t="s">
        <v>271</v>
      </c>
      <c r="G40" s="5" t="n">
        <v>22000</v>
      </c>
      <c r="H40" s="5" t="n">
        <v>0</v>
      </c>
    </row>
    <row r="41" customFormat="false" ht="15" hidden="false" customHeight="false" outlineLevel="0" collapsed="false">
      <c r="A41" s="4" t="s">
        <v>33</v>
      </c>
      <c r="B41" s="4" t="s">
        <v>293</v>
      </c>
      <c r="C41" s="4" t="s">
        <v>203</v>
      </c>
      <c r="D41" s="4" t="s">
        <v>269</v>
      </c>
      <c r="E41" s="4" t="s">
        <v>156</v>
      </c>
      <c r="F41" s="4" t="s">
        <v>157</v>
      </c>
      <c r="G41" s="5" t="n">
        <v>0</v>
      </c>
      <c r="H41" s="5" t="n">
        <v>22000</v>
      </c>
    </row>
    <row r="42" customFormat="false" ht="15" hidden="false" customHeight="false" outlineLevel="0" collapsed="false">
      <c r="A42" s="4" t="s">
        <v>33</v>
      </c>
      <c r="B42" s="4" t="s">
        <v>294</v>
      </c>
      <c r="C42" s="4" t="s">
        <v>203</v>
      </c>
      <c r="D42" s="4" t="s">
        <v>269</v>
      </c>
      <c r="E42" s="4" t="s">
        <v>295</v>
      </c>
      <c r="F42" s="4" t="s">
        <v>296</v>
      </c>
      <c r="G42" s="5" t="n">
        <v>84000</v>
      </c>
      <c r="H42" s="5" t="n">
        <v>0</v>
      </c>
    </row>
    <row r="43" customFormat="false" ht="15" hidden="false" customHeight="false" outlineLevel="0" collapsed="false">
      <c r="A43" s="4" t="s">
        <v>33</v>
      </c>
      <c r="B43" s="4" t="s">
        <v>294</v>
      </c>
      <c r="C43" s="4" t="s">
        <v>203</v>
      </c>
      <c r="D43" s="4" t="s">
        <v>269</v>
      </c>
      <c r="E43" s="4" t="s">
        <v>207</v>
      </c>
      <c r="F43" s="4" t="s">
        <v>208</v>
      </c>
      <c r="G43" s="5" t="n">
        <v>0</v>
      </c>
      <c r="H43" s="5" t="n">
        <v>84000</v>
      </c>
    </row>
    <row r="44" customFormat="false" ht="15" hidden="false" customHeight="false" outlineLevel="0" collapsed="false">
      <c r="A44" s="4" t="s">
        <v>33</v>
      </c>
      <c r="B44" s="4" t="s">
        <v>297</v>
      </c>
      <c r="C44" s="4" t="s">
        <v>155</v>
      </c>
      <c r="D44" s="4" t="s">
        <v>269</v>
      </c>
      <c r="E44" s="4" t="s">
        <v>270</v>
      </c>
      <c r="F44" s="4" t="s">
        <v>271</v>
      </c>
      <c r="G44" s="5" t="n">
        <v>1250000</v>
      </c>
      <c r="H44" s="5" t="n">
        <v>0</v>
      </c>
    </row>
    <row r="45" customFormat="false" ht="15" hidden="false" customHeight="false" outlineLevel="0" collapsed="false">
      <c r="A45" s="4" t="s">
        <v>33</v>
      </c>
      <c r="B45" s="4" t="s">
        <v>297</v>
      </c>
      <c r="C45" s="4" t="s">
        <v>155</v>
      </c>
      <c r="D45" s="4" t="s">
        <v>269</v>
      </c>
      <c r="E45" s="4" t="s">
        <v>156</v>
      </c>
      <c r="F45" s="4" t="s">
        <v>157</v>
      </c>
      <c r="G45" s="5" t="n">
        <v>0</v>
      </c>
      <c r="H45" s="5" t="n">
        <v>1250000</v>
      </c>
    </row>
    <row r="46" customFormat="false" ht="15" hidden="false" customHeight="false" outlineLevel="0" collapsed="false">
      <c r="A46" s="4" t="s">
        <v>33</v>
      </c>
      <c r="B46" s="4" t="s">
        <v>298</v>
      </c>
      <c r="C46" s="4" t="s">
        <v>174</v>
      </c>
      <c r="D46" s="4" t="s">
        <v>269</v>
      </c>
      <c r="E46" s="4" t="s">
        <v>287</v>
      </c>
      <c r="F46" s="4" t="s">
        <v>288</v>
      </c>
      <c r="G46" s="5" t="n">
        <v>3759000</v>
      </c>
      <c r="H46" s="5" t="n">
        <v>0</v>
      </c>
    </row>
    <row r="47" customFormat="false" ht="15" hidden="false" customHeight="false" outlineLevel="0" collapsed="false">
      <c r="A47" s="4" t="s">
        <v>33</v>
      </c>
      <c r="B47" s="4" t="s">
        <v>298</v>
      </c>
      <c r="C47" s="4" t="s">
        <v>174</v>
      </c>
      <c r="D47" s="4" t="s">
        <v>269</v>
      </c>
      <c r="E47" s="4" t="s">
        <v>186</v>
      </c>
      <c r="F47" s="4" t="s">
        <v>187</v>
      </c>
      <c r="G47" s="5" t="n">
        <v>0</v>
      </c>
      <c r="H47" s="5" t="n">
        <v>3759000</v>
      </c>
    </row>
    <row r="48" customFormat="false" ht="15" hidden="false" customHeight="false" outlineLevel="0" collapsed="false">
      <c r="A48" s="4" t="s">
        <v>33</v>
      </c>
      <c r="B48" s="4" t="s">
        <v>299</v>
      </c>
      <c r="C48" s="4" t="s">
        <v>174</v>
      </c>
      <c r="D48" s="4" t="s">
        <v>269</v>
      </c>
      <c r="E48" s="4" t="s">
        <v>270</v>
      </c>
      <c r="F48" s="4" t="s">
        <v>271</v>
      </c>
      <c r="G48" s="5" t="n">
        <v>15000</v>
      </c>
      <c r="H48" s="5" t="n">
        <v>0</v>
      </c>
    </row>
    <row r="49" customFormat="false" ht="15" hidden="false" customHeight="false" outlineLevel="0" collapsed="false">
      <c r="A49" s="4" t="s">
        <v>33</v>
      </c>
      <c r="B49" s="4" t="s">
        <v>299</v>
      </c>
      <c r="C49" s="4" t="s">
        <v>174</v>
      </c>
      <c r="D49" s="4" t="s">
        <v>269</v>
      </c>
      <c r="E49" s="4" t="s">
        <v>156</v>
      </c>
      <c r="F49" s="4" t="s">
        <v>157</v>
      </c>
      <c r="G49" s="5" t="n">
        <v>0</v>
      </c>
      <c r="H49" s="5" t="n">
        <v>15000</v>
      </c>
    </row>
    <row r="50" customFormat="false" ht="15" hidden="false" customHeight="false" outlineLevel="0" collapsed="false">
      <c r="A50" s="4" t="s">
        <v>33</v>
      </c>
      <c r="B50" s="4" t="s">
        <v>300</v>
      </c>
      <c r="C50" s="4" t="s">
        <v>174</v>
      </c>
      <c r="D50" s="4" t="s">
        <v>269</v>
      </c>
      <c r="E50" s="4" t="s">
        <v>278</v>
      </c>
      <c r="F50" s="4" t="s">
        <v>279</v>
      </c>
      <c r="G50" s="5" t="n">
        <v>5020000</v>
      </c>
      <c r="H50" s="5" t="n">
        <v>0</v>
      </c>
    </row>
    <row r="51" customFormat="false" ht="15" hidden="false" customHeight="false" outlineLevel="0" collapsed="false">
      <c r="A51" s="4" t="s">
        <v>33</v>
      </c>
      <c r="B51" s="4" t="s">
        <v>300</v>
      </c>
      <c r="C51" s="4" t="s">
        <v>174</v>
      </c>
      <c r="D51" s="4" t="s">
        <v>269</v>
      </c>
      <c r="E51" s="4" t="s">
        <v>175</v>
      </c>
      <c r="F51" s="4" t="s">
        <v>176</v>
      </c>
      <c r="G51" s="5" t="n">
        <v>0</v>
      </c>
      <c r="H51" s="5" t="n">
        <v>5020000</v>
      </c>
    </row>
    <row r="52" customFormat="false" ht="15" hidden="false" customHeight="false" outlineLevel="0" collapsed="false">
      <c r="A52" s="4" t="s">
        <v>33</v>
      </c>
      <c r="B52" s="4" t="s">
        <v>301</v>
      </c>
      <c r="C52" s="4" t="s">
        <v>174</v>
      </c>
      <c r="D52" s="4" t="s">
        <v>269</v>
      </c>
      <c r="E52" s="4" t="s">
        <v>270</v>
      </c>
      <c r="F52" s="4" t="s">
        <v>271</v>
      </c>
      <c r="G52" s="5" t="n">
        <v>15000</v>
      </c>
      <c r="H52" s="5" t="n">
        <v>0</v>
      </c>
    </row>
    <row r="53" customFormat="false" ht="15" hidden="false" customHeight="false" outlineLevel="0" collapsed="false">
      <c r="A53" s="4" t="s">
        <v>33</v>
      </c>
      <c r="B53" s="4" t="s">
        <v>301</v>
      </c>
      <c r="C53" s="4" t="s">
        <v>174</v>
      </c>
      <c r="D53" s="4" t="s">
        <v>269</v>
      </c>
      <c r="E53" s="4" t="s">
        <v>156</v>
      </c>
      <c r="F53" s="4" t="s">
        <v>157</v>
      </c>
      <c r="G53" s="5" t="n">
        <v>0</v>
      </c>
      <c r="H53" s="5" t="n">
        <v>15000</v>
      </c>
    </row>
    <row r="54" customFormat="false" ht="15" hidden="false" customHeight="false" outlineLevel="0" collapsed="false">
      <c r="A54" s="4" t="s">
        <v>33</v>
      </c>
      <c r="B54" s="4" t="s">
        <v>302</v>
      </c>
      <c r="C54" s="4" t="s">
        <v>174</v>
      </c>
      <c r="D54" s="4" t="s">
        <v>269</v>
      </c>
      <c r="E54" s="4" t="s">
        <v>270</v>
      </c>
      <c r="F54" s="4" t="s">
        <v>271</v>
      </c>
      <c r="G54" s="5" t="n">
        <v>4000</v>
      </c>
      <c r="H54" s="5" t="n">
        <v>0</v>
      </c>
    </row>
    <row r="55" customFormat="false" ht="15" hidden="false" customHeight="false" outlineLevel="0" collapsed="false">
      <c r="A55" s="4" t="s">
        <v>33</v>
      </c>
      <c r="B55" s="4" t="s">
        <v>302</v>
      </c>
      <c r="C55" s="4" t="s">
        <v>174</v>
      </c>
      <c r="D55" s="4" t="s">
        <v>269</v>
      </c>
      <c r="E55" s="4" t="s">
        <v>156</v>
      </c>
      <c r="F55" s="4" t="s">
        <v>157</v>
      </c>
      <c r="G55" s="5" t="n">
        <v>0</v>
      </c>
      <c r="H55" s="5" t="n">
        <v>4000</v>
      </c>
    </row>
    <row r="56" customFormat="false" ht="15" hidden="false" customHeight="false" outlineLevel="0" collapsed="false">
      <c r="A56" s="4" t="s">
        <v>33</v>
      </c>
      <c r="B56" s="4" t="s">
        <v>303</v>
      </c>
      <c r="C56" s="4" t="s">
        <v>174</v>
      </c>
      <c r="D56" s="4" t="s">
        <v>269</v>
      </c>
      <c r="E56" s="4" t="s">
        <v>270</v>
      </c>
      <c r="F56" s="4" t="s">
        <v>271</v>
      </c>
      <c r="G56" s="5" t="n">
        <v>12000</v>
      </c>
      <c r="H56" s="5" t="n">
        <v>0</v>
      </c>
    </row>
    <row r="57" customFormat="false" ht="15" hidden="false" customHeight="false" outlineLevel="0" collapsed="false">
      <c r="A57" s="4" t="s">
        <v>33</v>
      </c>
      <c r="B57" s="4" t="s">
        <v>303</v>
      </c>
      <c r="C57" s="4" t="s">
        <v>174</v>
      </c>
      <c r="D57" s="4" t="s">
        <v>269</v>
      </c>
      <c r="E57" s="4" t="s">
        <v>156</v>
      </c>
      <c r="F57" s="4" t="s">
        <v>157</v>
      </c>
      <c r="G57" s="5" t="n">
        <v>0</v>
      </c>
      <c r="H57" s="5" t="n">
        <v>12000</v>
      </c>
    </row>
    <row r="58" customFormat="false" ht="15" hidden="false" customHeight="false" outlineLevel="0" collapsed="false">
      <c r="A58" s="4" t="s">
        <v>33</v>
      </c>
      <c r="B58" s="4" t="s">
        <v>304</v>
      </c>
      <c r="C58" s="4" t="s">
        <v>174</v>
      </c>
      <c r="D58" s="4" t="s">
        <v>269</v>
      </c>
      <c r="E58" s="4" t="s">
        <v>270</v>
      </c>
      <c r="F58" s="4" t="s">
        <v>271</v>
      </c>
      <c r="G58" s="5" t="n">
        <v>8000</v>
      </c>
      <c r="H58" s="5" t="n">
        <v>0</v>
      </c>
    </row>
    <row r="59" customFormat="false" ht="15" hidden="false" customHeight="false" outlineLevel="0" collapsed="false">
      <c r="A59" s="4" t="s">
        <v>33</v>
      </c>
      <c r="B59" s="4" t="s">
        <v>304</v>
      </c>
      <c r="C59" s="4" t="s">
        <v>174</v>
      </c>
      <c r="D59" s="4" t="s">
        <v>269</v>
      </c>
      <c r="E59" s="4" t="s">
        <v>156</v>
      </c>
      <c r="F59" s="4" t="s">
        <v>157</v>
      </c>
      <c r="G59" s="5" t="n">
        <v>0</v>
      </c>
      <c r="H59" s="5" t="n">
        <v>8000</v>
      </c>
    </row>
    <row r="60" customFormat="false" ht="15" hidden="false" customHeight="false" outlineLevel="0" collapsed="false">
      <c r="A60" s="4" t="s">
        <v>33</v>
      </c>
      <c r="B60" s="4" t="s">
        <v>305</v>
      </c>
      <c r="C60" s="4" t="s">
        <v>185</v>
      </c>
      <c r="D60" s="4" t="s">
        <v>269</v>
      </c>
      <c r="E60" s="4" t="s">
        <v>284</v>
      </c>
      <c r="F60" s="4" t="s">
        <v>285</v>
      </c>
      <c r="G60" s="5" t="n">
        <v>0</v>
      </c>
      <c r="H60" s="5" t="n">
        <v>2101250</v>
      </c>
    </row>
    <row r="61" customFormat="false" ht="15" hidden="false" customHeight="false" outlineLevel="0" collapsed="false">
      <c r="A61" s="4" t="s">
        <v>33</v>
      </c>
      <c r="B61" s="4" t="s">
        <v>305</v>
      </c>
      <c r="C61" s="4" t="s">
        <v>185</v>
      </c>
      <c r="D61" s="4" t="s">
        <v>269</v>
      </c>
      <c r="E61" s="4" t="s">
        <v>282</v>
      </c>
      <c r="F61" s="4" t="s">
        <v>283</v>
      </c>
      <c r="G61" s="5" t="n">
        <v>0</v>
      </c>
      <c r="H61" s="5" t="n">
        <v>0</v>
      </c>
    </row>
    <row r="62" customFormat="false" ht="15" hidden="false" customHeight="false" outlineLevel="0" collapsed="false">
      <c r="A62" s="4" t="s">
        <v>33</v>
      </c>
      <c r="B62" s="4" t="s">
        <v>305</v>
      </c>
      <c r="C62" s="4" t="s">
        <v>185</v>
      </c>
      <c r="D62" s="4" t="s">
        <v>269</v>
      </c>
      <c r="E62" s="4" t="s">
        <v>284</v>
      </c>
      <c r="F62" s="4" t="s">
        <v>285</v>
      </c>
      <c r="G62" s="5" t="n">
        <v>0</v>
      </c>
      <c r="H62" s="5" t="n">
        <v>0</v>
      </c>
    </row>
    <row r="63" customFormat="false" ht="15" hidden="false" customHeight="false" outlineLevel="0" collapsed="false">
      <c r="A63" s="4" t="s">
        <v>33</v>
      </c>
      <c r="B63" s="4" t="s">
        <v>305</v>
      </c>
      <c r="C63" s="4" t="s">
        <v>185</v>
      </c>
      <c r="D63" s="4" t="s">
        <v>269</v>
      </c>
      <c r="E63" s="4" t="s">
        <v>282</v>
      </c>
      <c r="F63" s="4" t="s">
        <v>283</v>
      </c>
      <c r="G63" s="5" t="n">
        <v>2101250</v>
      </c>
      <c r="H63" s="5" t="n">
        <v>0</v>
      </c>
    </row>
    <row r="64" customFormat="false" ht="15" hidden="false" customHeight="false" outlineLevel="0" collapsed="false">
      <c r="A64" s="4" t="s">
        <v>33</v>
      </c>
      <c r="B64" s="4" t="s">
        <v>305</v>
      </c>
      <c r="C64" s="4" t="s">
        <v>185</v>
      </c>
      <c r="D64" s="4" t="s">
        <v>269</v>
      </c>
      <c r="E64" s="4" t="s">
        <v>284</v>
      </c>
      <c r="F64" s="4" t="s">
        <v>285</v>
      </c>
      <c r="G64" s="5" t="n">
        <v>0</v>
      </c>
      <c r="H64" s="5" t="n">
        <v>2101250</v>
      </c>
    </row>
    <row r="65" customFormat="false" ht="15" hidden="false" customHeight="false" outlineLevel="0" collapsed="false">
      <c r="A65" s="4" t="s">
        <v>33</v>
      </c>
      <c r="B65" s="4" t="s">
        <v>305</v>
      </c>
      <c r="C65" s="4" t="s">
        <v>185</v>
      </c>
      <c r="D65" s="4" t="s">
        <v>269</v>
      </c>
      <c r="E65" s="4" t="s">
        <v>282</v>
      </c>
      <c r="F65" s="4" t="s">
        <v>283</v>
      </c>
      <c r="G65" s="5" t="n">
        <v>0</v>
      </c>
      <c r="H65" s="5" t="n">
        <v>0</v>
      </c>
    </row>
    <row r="66" customFormat="false" ht="15" hidden="false" customHeight="false" outlineLevel="0" collapsed="false">
      <c r="A66" s="4" t="s">
        <v>33</v>
      </c>
      <c r="B66" s="4" t="s">
        <v>305</v>
      </c>
      <c r="C66" s="4" t="s">
        <v>185</v>
      </c>
      <c r="D66" s="4" t="s">
        <v>269</v>
      </c>
      <c r="E66" s="4" t="s">
        <v>284</v>
      </c>
      <c r="F66" s="4" t="s">
        <v>285</v>
      </c>
      <c r="G66" s="5" t="n">
        <v>0</v>
      </c>
      <c r="H66" s="5" t="n">
        <v>0</v>
      </c>
    </row>
    <row r="67" customFormat="false" ht="15" hidden="false" customHeight="false" outlineLevel="0" collapsed="false">
      <c r="A67" s="4" t="s">
        <v>33</v>
      </c>
      <c r="B67" s="4" t="s">
        <v>305</v>
      </c>
      <c r="C67" s="4" t="s">
        <v>185</v>
      </c>
      <c r="D67" s="4" t="s">
        <v>269</v>
      </c>
      <c r="E67" s="4" t="s">
        <v>282</v>
      </c>
      <c r="F67" s="4" t="s">
        <v>283</v>
      </c>
      <c r="G67" s="5" t="n">
        <v>2101250</v>
      </c>
      <c r="H67" s="5" t="n">
        <v>0</v>
      </c>
    </row>
    <row r="68" customFormat="false" ht="15" hidden="false" customHeight="false" outlineLevel="0" collapsed="false">
      <c r="A68" s="4" t="s">
        <v>33</v>
      </c>
      <c r="B68" s="4" t="s">
        <v>305</v>
      </c>
      <c r="C68" s="4" t="s">
        <v>185</v>
      </c>
      <c r="D68" s="4" t="s">
        <v>269</v>
      </c>
      <c r="E68" s="4" t="s">
        <v>284</v>
      </c>
      <c r="F68" s="4" t="s">
        <v>285</v>
      </c>
      <c r="G68" s="5" t="n">
        <v>0</v>
      </c>
      <c r="H68" s="5" t="n">
        <v>2101250</v>
      </c>
    </row>
    <row r="69" customFormat="false" ht="15" hidden="false" customHeight="false" outlineLevel="0" collapsed="false">
      <c r="A69" s="4" t="s">
        <v>33</v>
      </c>
      <c r="B69" s="4" t="s">
        <v>305</v>
      </c>
      <c r="C69" s="4" t="s">
        <v>185</v>
      </c>
      <c r="D69" s="4" t="s">
        <v>269</v>
      </c>
      <c r="E69" s="4" t="s">
        <v>282</v>
      </c>
      <c r="F69" s="4" t="s">
        <v>283</v>
      </c>
      <c r="G69" s="5" t="n">
        <v>0</v>
      </c>
      <c r="H69" s="5" t="n">
        <v>0</v>
      </c>
    </row>
    <row r="70" customFormat="false" ht="15" hidden="false" customHeight="false" outlineLevel="0" collapsed="false">
      <c r="A70" s="4" t="s">
        <v>33</v>
      </c>
      <c r="B70" s="4" t="s">
        <v>305</v>
      </c>
      <c r="C70" s="4" t="s">
        <v>185</v>
      </c>
      <c r="D70" s="4" t="s">
        <v>269</v>
      </c>
      <c r="E70" s="4" t="s">
        <v>284</v>
      </c>
      <c r="F70" s="4" t="s">
        <v>285</v>
      </c>
      <c r="G70" s="5" t="n">
        <v>0</v>
      </c>
      <c r="H70" s="5" t="n">
        <v>0</v>
      </c>
    </row>
    <row r="71" customFormat="false" ht="15" hidden="false" customHeight="false" outlineLevel="0" collapsed="false">
      <c r="A71" s="4" t="s">
        <v>33</v>
      </c>
      <c r="B71" s="4" t="s">
        <v>305</v>
      </c>
      <c r="C71" s="4" t="s">
        <v>185</v>
      </c>
      <c r="D71" s="4" t="s">
        <v>269</v>
      </c>
      <c r="E71" s="4" t="s">
        <v>282</v>
      </c>
      <c r="F71" s="4" t="s">
        <v>283</v>
      </c>
      <c r="G71" s="5" t="n">
        <v>2101250</v>
      </c>
      <c r="H71" s="5" t="n">
        <v>0</v>
      </c>
    </row>
    <row r="72" customFormat="false" ht="15" hidden="false" customHeight="false" outlineLevel="0" collapsed="false">
      <c r="A72" s="4" t="s">
        <v>33</v>
      </c>
      <c r="B72" s="4" t="s">
        <v>305</v>
      </c>
      <c r="C72" s="4" t="s">
        <v>185</v>
      </c>
      <c r="D72" s="4" t="s">
        <v>269</v>
      </c>
      <c r="E72" s="4" t="s">
        <v>284</v>
      </c>
      <c r="F72" s="4" t="s">
        <v>285</v>
      </c>
      <c r="G72" s="5" t="n">
        <v>0</v>
      </c>
      <c r="H72" s="5" t="n">
        <v>2101250</v>
      </c>
    </row>
    <row r="73" customFormat="false" ht="15" hidden="false" customHeight="false" outlineLevel="0" collapsed="false">
      <c r="A73" s="4" t="s">
        <v>33</v>
      </c>
      <c r="B73" s="4" t="s">
        <v>305</v>
      </c>
      <c r="C73" s="4" t="s">
        <v>185</v>
      </c>
      <c r="D73" s="4" t="s">
        <v>269</v>
      </c>
      <c r="E73" s="4" t="s">
        <v>282</v>
      </c>
      <c r="F73" s="4" t="s">
        <v>283</v>
      </c>
      <c r="G73" s="5" t="n">
        <v>0</v>
      </c>
      <c r="H73" s="5" t="n">
        <v>0</v>
      </c>
    </row>
    <row r="74" customFormat="false" ht="15" hidden="false" customHeight="false" outlineLevel="0" collapsed="false">
      <c r="A74" s="4" t="s">
        <v>33</v>
      </c>
      <c r="B74" s="4" t="s">
        <v>305</v>
      </c>
      <c r="C74" s="4" t="s">
        <v>185</v>
      </c>
      <c r="D74" s="4" t="s">
        <v>269</v>
      </c>
      <c r="E74" s="4" t="s">
        <v>284</v>
      </c>
      <c r="F74" s="4" t="s">
        <v>285</v>
      </c>
      <c r="G74" s="5" t="n">
        <v>0</v>
      </c>
      <c r="H74" s="5" t="n">
        <v>0</v>
      </c>
    </row>
    <row r="75" customFormat="false" ht="15" hidden="false" customHeight="false" outlineLevel="0" collapsed="false">
      <c r="A75" s="4" t="s">
        <v>33</v>
      </c>
      <c r="B75" s="4" t="s">
        <v>305</v>
      </c>
      <c r="C75" s="4" t="s">
        <v>185</v>
      </c>
      <c r="D75" s="4" t="s">
        <v>269</v>
      </c>
      <c r="E75" s="4" t="s">
        <v>282</v>
      </c>
      <c r="F75" s="4" t="s">
        <v>283</v>
      </c>
      <c r="G75" s="5" t="n">
        <v>2101250</v>
      </c>
      <c r="H75" s="5" t="n">
        <v>0</v>
      </c>
    </row>
    <row r="76" customFormat="false" ht="15" hidden="false" customHeight="false" outlineLevel="0" collapsed="false">
      <c r="A76" s="4" t="s">
        <v>33</v>
      </c>
      <c r="B76" s="4" t="s">
        <v>305</v>
      </c>
      <c r="C76" s="4" t="s">
        <v>185</v>
      </c>
      <c r="D76" s="4" t="s">
        <v>269</v>
      </c>
      <c r="E76" s="4" t="s">
        <v>284</v>
      </c>
      <c r="F76" s="4" t="s">
        <v>285</v>
      </c>
      <c r="G76" s="5" t="n">
        <v>0</v>
      </c>
      <c r="H76" s="5" t="n">
        <v>2101250</v>
      </c>
    </row>
    <row r="77" customFormat="false" ht="15" hidden="false" customHeight="false" outlineLevel="0" collapsed="false">
      <c r="A77" s="4" t="s">
        <v>33</v>
      </c>
      <c r="B77" s="4" t="s">
        <v>305</v>
      </c>
      <c r="C77" s="4" t="s">
        <v>185</v>
      </c>
      <c r="D77" s="4" t="s">
        <v>269</v>
      </c>
      <c r="E77" s="4" t="s">
        <v>282</v>
      </c>
      <c r="F77" s="4" t="s">
        <v>283</v>
      </c>
      <c r="G77" s="5" t="n">
        <v>0</v>
      </c>
      <c r="H77" s="5" t="n">
        <v>0</v>
      </c>
    </row>
    <row r="78" customFormat="false" ht="15" hidden="false" customHeight="false" outlineLevel="0" collapsed="false">
      <c r="A78" s="4" t="s">
        <v>33</v>
      </c>
      <c r="B78" s="4" t="s">
        <v>305</v>
      </c>
      <c r="C78" s="4" t="s">
        <v>185</v>
      </c>
      <c r="D78" s="4" t="s">
        <v>269</v>
      </c>
      <c r="E78" s="4" t="s">
        <v>284</v>
      </c>
      <c r="F78" s="4" t="s">
        <v>285</v>
      </c>
      <c r="G78" s="5" t="n">
        <v>0</v>
      </c>
      <c r="H78" s="5" t="n">
        <v>0</v>
      </c>
    </row>
    <row r="79" customFormat="false" ht="15" hidden="false" customHeight="false" outlineLevel="0" collapsed="false">
      <c r="A79" s="4" t="s">
        <v>33</v>
      </c>
      <c r="B79" s="4" t="s">
        <v>305</v>
      </c>
      <c r="C79" s="4" t="s">
        <v>185</v>
      </c>
      <c r="D79" s="4" t="s">
        <v>269</v>
      </c>
      <c r="E79" s="4" t="s">
        <v>282</v>
      </c>
      <c r="F79" s="4" t="s">
        <v>283</v>
      </c>
      <c r="G79" s="5" t="n">
        <v>1276250</v>
      </c>
      <c r="H79" s="5" t="n">
        <v>0</v>
      </c>
    </row>
    <row r="80" customFormat="false" ht="15" hidden="false" customHeight="false" outlineLevel="0" collapsed="false">
      <c r="A80" s="4" t="s">
        <v>33</v>
      </c>
      <c r="B80" s="4" t="s">
        <v>305</v>
      </c>
      <c r="C80" s="4" t="s">
        <v>185</v>
      </c>
      <c r="D80" s="4" t="s">
        <v>269</v>
      </c>
      <c r="E80" s="4" t="s">
        <v>284</v>
      </c>
      <c r="F80" s="4" t="s">
        <v>285</v>
      </c>
      <c r="G80" s="5" t="n">
        <v>0</v>
      </c>
      <c r="H80" s="5" t="n">
        <v>1276250</v>
      </c>
    </row>
    <row r="81" customFormat="false" ht="15" hidden="false" customHeight="false" outlineLevel="0" collapsed="false">
      <c r="A81" s="4" t="s">
        <v>33</v>
      </c>
      <c r="B81" s="4" t="s">
        <v>306</v>
      </c>
      <c r="C81" s="4" t="s">
        <v>222</v>
      </c>
      <c r="D81" s="4" t="s">
        <v>269</v>
      </c>
      <c r="E81" s="4" t="s">
        <v>270</v>
      </c>
      <c r="F81" s="4" t="s">
        <v>271</v>
      </c>
      <c r="G81" s="5" t="n">
        <v>26000</v>
      </c>
      <c r="H81" s="5" t="n">
        <v>0</v>
      </c>
    </row>
    <row r="82" customFormat="false" ht="15" hidden="false" customHeight="false" outlineLevel="0" collapsed="false">
      <c r="A82" s="4" t="s">
        <v>33</v>
      </c>
      <c r="B82" s="4" t="s">
        <v>306</v>
      </c>
      <c r="C82" s="4" t="s">
        <v>222</v>
      </c>
      <c r="D82" s="4" t="s">
        <v>269</v>
      </c>
      <c r="E82" s="4" t="s">
        <v>156</v>
      </c>
      <c r="F82" s="4" t="s">
        <v>157</v>
      </c>
      <c r="G82" s="5" t="n">
        <v>0</v>
      </c>
      <c r="H82" s="5" t="n">
        <v>26000</v>
      </c>
    </row>
    <row r="83" customFormat="false" ht="15" hidden="false" customHeight="false" outlineLevel="0" collapsed="false">
      <c r="A83" s="4" t="s">
        <v>33</v>
      </c>
      <c r="B83" s="4" t="s">
        <v>305</v>
      </c>
      <c r="C83" s="4" t="s">
        <v>185</v>
      </c>
      <c r="D83" s="4" t="s">
        <v>269</v>
      </c>
      <c r="E83" s="4" t="s">
        <v>282</v>
      </c>
      <c r="F83" s="4" t="s">
        <v>283</v>
      </c>
      <c r="G83" s="5" t="n">
        <v>1276250</v>
      </c>
      <c r="H83" s="5" t="n">
        <v>0</v>
      </c>
    </row>
    <row r="84" customFormat="false" ht="15" hidden="false" customHeight="false" outlineLevel="0" collapsed="false">
      <c r="A84" s="4" t="s">
        <v>33</v>
      </c>
      <c r="B84" s="4" t="s">
        <v>305</v>
      </c>
      <c r="C84" s="4" t="s">
        <v>185</v>
      </c>
      <c r="D84" s="4" t="s">
        <v>269</v>
      </c>
      <c r="E84" s="4" t="s">
        <v>284</v>
      </c>
      <c r="F84" s="4" t="s">
        <v>285</v>
      </c>
      <c r="G84" s="5" t="n">
        <v>0</v>
      </c>
      <c r="H84" s="5" t="n">
        <v>1276250</v>
      </c>
    </row>
    <row r="85" customFormat="false" ht="15" hidden="false" customHeight="false" outlineLevel="0" collapsed="false">
      <c r="A85" s="4" t="s">
        <v>33</v>
      </c>
      <c r="B85" s="4" t="s">
        <v>305</v>
      </c>
      <c r="C85" s="4" t="s">
        <v>185</v>
      </c>
      <c r="D85" s="4" t="s">
        <v>269</v>
      </c>
      <c r="E85" s="4" t="s">
        <v>282</v>
      </c>
      <c r="F85" s="4" t="s">
        <v>283</v>
      </c>
      <c r="G85" s="5" t="n">
        <v>2101250</v>
      </c>
      <c r="H85" s="5" t="n">
        <v>0</v>
      </c>
    </row>
    <row r="86" customFormat="false" ht="15" hidden="false" customHeight="false" outlineLevel="0" collapsed="false">
      <c r="A86" s="4" t="s">
        <v>45</v>
      </c>
      <c r="B86" s="4" t="s">
        <v>307</v>
      </c>
      <c r="C86" s="4" t="s">
        <v>155</v>
      </c>
      <c r="D86" s="4" t="s">
        <v>269</v>
      </c>
      <c r="E86" s="4" t="s">
        <v>282</v>
      </c>
      <c r="F86" s="4" t="s">
        <v>283</v>
      </c>
      <c r="G86" s="5" t="n">
        <v>1431250</v>
      </c>
      <c r="H86" s="5" t="n">
        <v>0</v>
      </c>
    </row>
    <row r="87" customFormat="false" ht="15" hidden="false" customHeight="false" outlineLevel="0" collapsed="false">
      <c r="A87" s="4" t="s">
        <v>45</v>
      </c>
      <c r="B87" s="4" t="s">
        <v>307</v>
      </c>
      <c r="C87" s="4" t="s">
        <v>155</v>
      </c>
      <c r="D87" s="4" t="s">
        <v>269</v>
      </c>
      <c r="E87" s="4" t="s">
        <v>284</v>
      </c>
      <c r="F87" s="4" t="s">
        <v>285</v>
      </c>
      <c r="G87" s="5" t="n">
        <v>0</v>
      </c>
      <c r="H87" s="5" t="n">
        <v>1431250</v>
      </c>
    </row>
    <row r="88" customFormat="false" ht="15" hidden="false" customHeight="false" outlineLevel="0" collapsed="false">
      <c r="A88" s="4" t="s">
        <v>45</v>
      </c>
      <c r="B88" s="4" t="s">
        <v>308</v>
      </c>
      <c r="C88" s="4" t="s">
        <v>233</v>
      </c>
      <c r="D88" s="4" t="s">
        <v>269</v>
      </c>
      <c r="E88" s="4" t="s">
        <v>270</v>
      </c>
      <c r="F88" s="4" t="s">
        <v>271</v>
      </c>
      <c r="G88" s="5" t="n">
        <v>151400</v>
      </c>
      <c r="H88" s="5" t="n">
        <v>0</v>
      </c>
    </row>
    <row r="89" customFormat="false" ht="15" hidden="false" customHeight="false" outlineLevel="0" collapsed="false">
      <c r="A89" s="4" t="s">
        <v>45</v>
      </c>
      <c r="B89" s="4" t="s">
        <v>308</v>
      </c>
      <c r="C89" s="4" t="s">
        <v>233</v>
      </c>
      <c r="D89" s="4" t="s">
        <v>269</v>
      </c>
      <c r="E89" s="4" t="s">
        <v>156</v>
      </c>
      <c r="F89" s="4" t="s">
        <v>157</v>
      </c>
      <c r="G89" s="5" t="n">
        <v>0</v>
      </c>
      <c r="H89" s="5" t="n">
        <v>151400</v>
      </c>
    </row>
    <row r="90" customFormat="false" ht="15" hidden="false" customHeight="false" outlineLevel="0" collapsed="false">
      <c r="A90" s="4" t="s">
        <v>45</v>
      </c>
      <c r="B90" s="4" t="s">
        <v>309</v>
      </c>
      <c r="C90" s="4" t="s">
        <v>162</v>
      </c>
      <c r="D90" s="4" t="s">
        <v>269</v>
      </c>
      <c r="E90" s="4" t="s">
        <v>270</v>
      </c>
      <c r="F90" s="4" t="s">
        <v>271</v>
      </c>
      <c r="G90" s="5" t="n">
        <v>5000</v>
      </c>
      <c r="H90" s="5" t="n">
        <v>0</v>
      </c>
    </row>
    <row r="91" customFormat="false" ht="15" hidden="false" customHeight="false" outlineLevel="0" collapsed="false">
      <c r="A91" s="4" t="s">
        <v>45</v>
      </c>
      <c r="B91" s="4" t="s">
        <v>309</v>
      </c>
      <c r="C91" s="4" t="s">
        <v>162</v>
      </c>
      <c r="D91" s="4" t="s">
        <v>269</v>
      </c>
      <c r="E91" s="4" t="s">
        <v>156</v>
      </c>
      <c r="F91" s="4" t="s">
        <v>157</v>
      </c>
      <c r="G91" s="5" t="n">
        <v>0</v>
      </c>
      <c r="H91" s="5" t="n">
        <v>5000</v>
      </c>
    </row>
    <row r="92" customFormat="false" ht="15" hidden="false" customHeight="false" outlineLevel="0" collapsed="false">
      <c r="A92" s="4" t="s">
        <v>45</v>
      </c>
      <c r="B92" s="4" t="s">
        <v>310</v>
      </c>
      <c r="C92" s="4" t="s">
        <v>222</v>
      </c>
      <c r="D92" s="4" t="s">
        <v>269</v>
      </c>
      <c r="E92" s="4" t="s">
        <v>270</v>
      </c>
      <c r="F92" s="4" t="s">
        <v>271</v>
      </c>
      <c r="G92" s="5" t="n">
        <v>6000</v>
      </c>
      <c r="H92" s="5" t="n">
        <v>0</v>
      </c>
    </row>
    <row r="93" customFormat="false" ht="15" hidden="false" customHeight="false" outlineLevel="0" collapsed="false">
      <c r="A93" s="4" t="s">
        <v>45</v>
      </c>
      <c r="B93" s="4" t="s">
        <v>310</v>
      </c>
      <c r="C93" s="4" t="s">
        <v>222</v>
      </c>
      <c r="D93" s="4" t="s">
        <v>269</v>
      </c>
      <c r="E93" s="4" t="s">
        <v>156</v>
      </c>
      <c r="F93" s="4" t="s">
        <v>157</v>
      </c>
      <c r="G93" s="5" t="n">
        <v>0</v>
      </c>
      <c r="H93" s="5" t="n">
        <v>6000</v>
      </c>
    </row>
    <row r="94" customFormat="false" ht="15" hidden="false" customHeight="false" outlineLevel="0" collapsed="false">
      <c r="A94" s="4" t="s">
        <v>45</v>
      </c>
      <c r="B94" s="4" t="s">
        <v>311</v>
      </c>
      <c r="C94" s="4" t="s">
        <v>222</v>
      </c>
      <c r="D94" s="4" t="s">
        <v>269</v>
      </c>
      <c r="E94" s="4" t="s">
        <v>278</v>
      </c>
      <c r="F94" s="4" t="s">
        <v>279</v>
      </c>
      <c r="G94" s="5" t="n">
        <v>550000</v>
      </c>
      <c r="H94" s="5" t="n">
        <v>0</v>
      </c>
    </row>
    <row r="95" customFormat="false" ht="15" hidden="false" customHeight="false" outlineLevel="0" collapsed="false">
      <c r="A95" s="4" t="s">
        <v>45</v>
      </c>
      <c r="B95" s="4" t="s">
        <v>311</v>
      </c>
      <c r="C95" s="4" t="s">
        <v>222</v>
      </c>
      <c r="D95" s="4" t="s">
        <v>269</v>
      </c>
      <c r="E95" s="4" t="s">
        <v>175</v>
      </c>
      <c r="F95" s="4" t="s">
        <v>176</v>
      </c>
      <c r="G95" s="5" t="n">
        <v>0</v>
      </c>
      <c r="H95" s="5" t="n">
        <v>550000</v>
      </c>
    </row>
    <row r="96" customFormat="false" ht="15" hidden="false" customHeight="false" outlineLevel="0" collapsed="false">
      <c r="A96" s="4" t="s">
        <v>45</v>
      </c>
      <c r="B96" s="4" t="s">
        <v>312</v>
      </c>
      <c r="C96" s="4" t="s">
        <v>197</v>
      </c>
      <c r="D96" s="4" t="s">
        <v>269</v>
      </c>
      <c r="E96" s="4" t="s">
        <v>270</v>
      </c>
      <c r="F96" s="4" t="s">
        <v>271</v>
      </c>
      <c r="G96" s="5" t="n">
        <v>75000</v>
      </c>
      <c r="H96" s="5" t="n">
        <v>0</v>
      </c>
    </row>
    <row r="97" customFormat="false" ht="15" hidden="false" customHeight="false" outlineLevel="0" collapsed="false">
      <c r="A97" s="4" t="s">
        <v>45</v>
      </c>
      <c r="B97" s="4" t="s">
        <v>312</v>
      </c>
      <c r="C97" s="4" t="s">
        <v>197</v>
      </c>
      <c r="D97" s="4" t="s">
        <v>269</v>
      </c>
      <c r="E97" s="4" t="s">
        <v>156</v>
      </c>
      <c r="F97" s="4" t="s">
        <v>157</v>
      </c>
      <c r="G97" s="5" t="n">
        <v>0</v>
      </c>
      <c r="H97" s="5" t="n">
        <v>75000</v>
      </c>
    </row>
    <row r="98" customFormat="false" ht="15" hidden="false" customHeight="false" outlineLevel="0" collapsed="false">
      <c r="A98" s="4" t="s">
        <v>45</v>
      </c>
      <c r="B98" s="4" t="s">
        <v>313</v>
      </c>
      <c r="C98" s="4" t="s">
        <v>197</v>
      </c>
      <c r="D98" s="4" t="s">
        <v>269</v>
      </c>
      <c r="E98" s="4" t="s">
        <v>295</v>
      </c>
      <c r="F98" s="4" t="s">
        <v>296</v>
      </c>
      <c r="G98" s="5" t="n">
        <v>7000</v>
      </c>
      <c r="H98" s="5" t="n">
        <v>0</v>
      </c>
    </row>
    <row r="99" customFormat="false" ht="15" hidden="false" customHeight="false" outlineLevel="0" collapsed="false">
      <c r="A99" s="4" t="s">
        <v>45</v>
      </c>
      <c r="B99" s="4" t="s">
        <v>313</v>
      </c>
      <c r="C99" s="4" t="s">
        <v>197</v>
      </c>
      <c r="D99" s="4" t="s">
        <v>269</v>
      </c>
      <c r="E99" s="4" t="s">
        <v>207</v>
      </c>
      <c r="F99" s="4" t="s">
        <v>208</v>
      </c>
      <c r="G99" s="5" t="n">
        <v>0</v>
      </c>
      <c r="H99" s="5" t="n">
        <v>7000</v>
      </c>
    </row>
    <row r="100" customFormat="false" ht="15" hidden="false" customHeight="false" outlineLevel="0" collapsed="false">
      <c r="A100" s="4" t="s">
        <v>45</v>
      </c>
      <c r="B100" s="4" t="s">
        <v>314</v>
      </c>
      <c r="C100" s="4" t="s">
        <v>229</v>
      </c>
      <c r="D100" s="4" t="s">
        <v>269</v>
      </c>
      <c r="E100" s="4" t="s">
        <v>287</v>
      </c>
      <c r="F100" s="4" t="s">
        <v>288</v>
      </c>
      <c r="G100" s="5" t="n">
        <v>506000</v>
      </c>
      <c r="H100" s="5" t="n">
        <v>0</v>
      </c>
    </row>
    <row r="101" customFormat="false" ht="15" hidden="false" customHeight="false" outlineLevel="0" collapsed="false">
      <c r="A101" s="4" t="s">
        <v>45</v>
      </c>
      <c r="B101" s="4" t="s">
        <v>314</v>
      </c>
      <c r="C101" s="4" t="s">
        <v>229</v>
      </c>
      <c r="D101" s="4" t="s">
        <v>269</v>
      </c>
      <c r="E101" s="4" t="s">
        <v>186</v>
      </c>
      <c r="F101" s="4" t="s">
        <v>187</v>
      </c>
      <c r="G101" s="5" t="n">
        <v>0</v>
      </c>
      <c r="H101" s="5" t="n">
        <v>506000</v>
      </c>
    </row>
    <row r="102" customFormat="false" ht="15" hidden="false" customHeight="false" outlineLevel="0" collapsed="false">
      <c r="A102" s="4" t="s">
        <v>45</v>
      </c>
      <c r="B102" s="4" t="s">
        <v>315</v>
      </c>
      <c r="C102" s="4" t="s">
        <v>229</v>
      </c>
      <c r="D102" s="4" t="s">
        <v>269</v>
      </c>
      <c r="E102" s="4" t="s">
        <v>270</v>
      </c>
      <c r="F102" s="4" t="s">
        <v>271</v>
      </c>
      <c r="G102" s="5" t="n">
        <v>6000</v>
      </c>
      <c r="H102" s="5" t="n">
        <v>0</v>
      </c>
    </row>
    <row r="103" customFormat="false" ht="15" hidden="false" customHeight="false" outlineLevel="0" collapsed="false">
      <c r="A103" s="4" t="s">
        <v>45</v>
      </c>
      <c r="B103" s="4" t="s">
        <v>315</v>
      </c>
      <c r="C103" s="4" t="s">
        <v>229</v>
      </c>
      <c r="D103" s="4" t="s">
        <v>269</v>
      </c>
      <c r="E103" s="4" t="s">
        <v>156</v>
      </c>
      <c r="F103" s="4" t="s">
        <v>157</v>
      </c>
      <c r="G103" s="5" t="n">
        <v>0</v>
      </c>
      <c r="H103" s="5" t="n">
        <v>6000</v>
      </c>
    </row>
    <row r="104" customFormat="false" ht="15" hidden="false" customHeight="false" outlineLevel="0" collapsed="false">
      <c r="A104" s="4" t="s">
        <v>45</v>
      </c>
      <c r="B104" s="4" t="s">
        <v>316</v>
      </c>
      <c r="C104" s="4" t="s">
        <v>229</v>
      </c>
      <c r="D104" s="4" t="s">
        <v>269</v>
      </c>
      <c r="E104" s="4" t="s">
        <v>270</v>
      </c>
      <c r="F104" s="4" t="s">
        <v>271</v>
      </c>
      <c r="G104" s="5" t="n">
        <v>4000</v>
      </c>
      <c r="H104" s="5" t="n">
        <v>0</v>
      </c>
    </row>
    <row r="105" customFormat="false" ht="15" hidden="false" customHeight="false" outlineLevel="0" collapsed="false">
      <c r="A105" s="4" t="s">
        <v>45</v>
      </c>
      <c r="B105" s="4" t="s">
        <v>316</v>
      </c>
      <c r="C105" s="4" t="s">
        <v>229</v>
      </c>
      <c r="D105" s="4" t="s">
        <v>269</v>
      </c>
      <c r="E105" s="4" t="s">
        <v>156</v>
      </c>
      <c r="F105" s="4" t="s">
        <v>157</v>
      </c>
      <c r="G105" s="5" t="n">
        <v>0</v>
      </c>
      <c r="H105" s="5" t="n">
        <v>4000</v>
      </c>
    </row>
    <row r="106" customFormat="false" ht="15" hidden="false" customHeight="false" outlineLevel="0" collapsed="false">
      <c r="A106" s="4" t="s">
        <v>45</v>
      </c>
      <c r="B106" s="4" t="s">
        <v>317</v>
      </c>
      <c r="C106" s="4" t="s">
        <v>229</v>
      </c>
      <c r="D106" s="4" t="s">
        <v>269</v>
      </c>
      <c r="E106" s="4" t="s">
        <v>270</v>
      </c>
      <c r="F106" s="4" t="s">
        <v>271</v>
      </c>
      <c r="G106" s="5" t="n">
        <v>1000</v>
      </c>
      <c r="H106" s="5" t="n">
        <v>0</v>
      </c>
    </row>
    <row r="107" customFormat="false" ht="15" hidden="false" customHeight="false" outlineLevel="0" collapsed="false">
      <c r="A107" s="4" t="s">
        <v>45</v>
      </c>
      <c r="B107" s="4" t="s">
        <v>317</v>
      </c>
      <c r="C107" s="4" t="s">
        <v>229</v>
      </c>
      <c r="D107" s="4" t="s">
        <v>269</v>
      </c>
      <c r="E107" s="4" t="s">
        <v>156</v>
      </c>
      <c r="F107" s="4" t="s">
        <v>157</v>
      </c>
      <c r="G107" s="5" t="n">
        <v>0</v>
      </c>
      <c r="H107" s="5" t="n">
        <v>1000</v>
      </c>
    </row>
    <row r="108" customFormat="false" ht="15" hidden="false" customHeight="false" outlineLevel="0" collapsed="false">
      <c r="A108" s="4" t="s">
        <v>45</v>
      </c>
      <c r="B108" s="4" t="s">
        <v>318</v>
      </c>
      <c r="C108" s="4" t="s">
        <v>319</v>
      </c>
      <c r="D108" s="4" t="s">
        <v>269</v>
      </c>
      <c r="E108" s="4" t="s">
        <v>295</v>
      </c>
      <c r="F108" s="4" t="s">
        <v>296</v>
      </c>
      <c r="G108" s="5" t="n">
        <v>30000</v>
      </c>
      <c r="H108" s="5" t="n">
        <v>0</v>
      </c>
    </row>
    <row r="109" customFormat="false" ht="15" hidden="false" customHeight="false" outlineLevel="0" collapsed="false">
      <c r="A109" s="4" t="s">
        <v>45</v>
      </c>
      <c r="B109" s="4" t="s">
        <v>318</v>
      </c>
      <c r="C109" s="4" t="s">
        <v>319</v>
      </c>
      <c r="D109" s="4" t="s">
        <v>269</v>
      </c>
      <c r="E109" s="4" t="s">
        <v>207</v>
      </c>
      <c r="F109" s="4" t="s">
        <v>208</v>
      </c>
      <c r="G109" s="5" t="n">
        <v>0</v>
      </c>
      <c r="H109" s="5" t="n">
        <v>30000</v>
      </c>
    </row>
    <row r="110" customFormat="false" ht="15" hidden="false" customHeight="false" outlineLevel="0" collapsed="false">
      <c r="A110" s="4" t="s">
        <v>56</v>
      </c>
      <c r="B110" s="4" t="s">
        <v>320</v>
      </c>
      <c r="C110" s="4" t="s">
        <v>203</v>
      </c>
      <c r="D110" s="4" t="s">
        <v>269</v>
      </c>
      <c r="E110" s="4" t="s">
        <v>270</v>
      </c>
      <c r="F110" s="4" t="s">
        <v>271</v>
      </c>
      <c r="G110" s="5" t="n">
        <v>40000</v>
      </c>
      <c r="H110" s="5" t="n">
        <v>0</v>
      </c>
    </row>
    <row r="111" customFormat="false" ht="15" hidden="false" customHeight="false" outlineLevel="0" collapsed="false">
      <c r="A111" s="4" t="s">
        <v>56</v>
      </c>
      <c r="B111" s="4" t="s">
        <v>320</v>
      </c>
      <c r="C111" s="4" t="s">
        <v>203</v>
      </c>
      <c r="D111" s="4" t="s">
        <v>269</v>
      </c>
      <c r="E111" s="4" t="s">
        <v>156</v>
      </c>
      <c r="F111" s="4" t="s">
        <v>157</v>
      </c>
      <c r="G111" s="5" t="n">
        <v>0</v>
      </c>
      <c r="H111" s="5" t="n">
        <v>40000</v>
      </c>
    </row>
    <row r="112" customFormat="false" ht="15" hidden="false" customHeight="false" outlineLevel="0" collapsed="false">
      <c r="A112" s="4" t="s">
        <v>56</v>
      </c>
      <c r="B112" s="4" t="s">
        <v>321</v>
      </c>
      <c r="C112" s="4" t="s">
        <v>155</v>
      </c>
      <c r="D112" s="4" t="s">
        <v>269</v>
      </c>
      <c r="E112" s="4" t="s">
        <v>282</v>
      </c>
      <c r="F112" s="4" t="s">
        <v>283</v>
      </c>
      <c r="G112" s="5" t="n">
        <v>2002500</v>
      </c>
      <c r="H112" s="5" t="n">
        <v>0</v>
      </c>
    </row>
    <row r="113" customFormat="false" ht="15" hidden="false" customHeight="false" outlineLevel="0" collapsed="false">
      <c r="A113" s="4" t="s">
        <v>56</v>
      </c>
      <c r="B113" s="4" t="s">
        <v>321</v>
      </c>
      <c r="C113" s="4" t="s">
        <v>155</v>
      </c>
      <c r="D113" s="4" t="s">
        <v>269</v>
      </c>
      <c r="E113" s="4" t="s">
        <v>284</v>
      </c>
      <c r="F113" s="4" t="s">
        <v>285</v>
      </c>
      <c r="G113" s="5" t="n">
        <v>0</v>
      </c>
      <c r="H113" s="5" t="n">
        <v>2002500</v>
      </c>
    </row>
    <row r="114" customFormat="false" ht="15" hidden="false" customHeight="false" outlineLevel="0" collapsed="false">
      <c r="A114" s="4" t="s">
        <v>56</v>
      </c>
      <c r="B114" s="4" t="s">
        <v>321</v>
      </c>
      <c r="C114" s="4" t="s">
        <v>155</v>
      </c>
      <c r="D114" s="4" t="s">
        <v>269</v>
      </c>
      <c r="E114" s="4" t="s">
        <v>282</v>
      </c>
      <c r="F114" s="4" t="s">
        <v>283</v>
      </c>
      <c r="G114" s="5" t="n">
        <v>2002500</v>
      </c>
      <c r="H114" s="5" t="n">
        <v>0</v>
      </c>
    </row>
    <row r="115" customFormat="false" ht="15" hidden="false" customHeight="false" outlineLevel="0" collapsed="false">
      <c r="A115" s="4" t="s">
        <v>56</v>
      </c>
      <c r="B115" s="4" t="s">
        <v>321</v>
      </c>
      <c r="C115" s="4" t="s">
        <v>155</v>
      </c>
      <c r="D115" s="4" t="s">
        <v>269</v>
      </c>
      <c r="E115" s="4" t="s">
        <v>284</v>
      </c>
      <c r="F115" s="4" t="s">
        <v>285</v>
      </c>
      <c r="G115" s="5" t="n">
        <v>0</v>
      </c>
      <c r="H115" s="5" t="n">
        <v>2002500</v>
      </c>
    </row>
    <row r="116" customFormat="false" ht="15" hidden="false" customHeight="false" outlineLevel="0" collapsed="false">
      <c r="A116" s="4" t="s">
        <v>56</v>
      </c>
      <c r="B116" s="4" t="s">
        <v>321</v>
      </c>
      <c r="C116" s="4" t="s">
        <v>155</v>
      </c>
      <c r="D116" s="4" t="s">
        <v>269</v>
      </c>
      <c r="E116" s="4" t="s">
        <v>282</v>
      </c>
      <c r="F116" s="4" t="s">
        <v>283</v>
      </c>
      <c r="G116" s="5" t="n">
        <v>2002500</v>
      </c>
      <c r="H116" s="5" t="n">
        <v>0</v>
      </c>
    </row>
    <row r="117" customFormat="false" ht="15" hidden="false" customHeight="false" outlineLevel="0" collapsed="false">
      <c r="A117" s="4" t="s">
        <v>56</v>
      </c>
      <c r="B117" s="4" t="s">
        <v>321</v>
      </c>
      <c r="C117" s="4" t="s">
        <v>155</v>
      </c>
      <c r="D117" s="4" t="s">
        <v>269</v>
      </c>
      <c r="E117" s="4" t="s">
        <v>284</v>
      </c>
      <c r="F117" s="4" t="s">
        <v>285</v>
      </c>
      <c r="G117" s="5" t="n">
        <v>0</v>
      </c>
      <c r="H117" s="5" t="n">
        <v>2002500</v>
      </c>
    </row>
    <row r="118" customFormat="false" ht="15" hidden="false" customHeight="false" outlineLevel="0" collapsed="false">
      <c r="A118" s="4" t="s">
        <v>56</v>
      </c>
      <c r="B118" s="4" t="s">
        <v>321</v>
      </c>
      <c r="C118" s="4" t="s">
        <v>155</v>
      </c>
      <c r="D118" s="4" t="s">
        <v>269</v>
      </c>
      <c r="E118" s="4" t="s">
        <v>282</v>
      </c>
      <c r="F118" s="4" t="s">
        <v>283</v>
      </c>
      <c r="G118" s="5" t="n">
        <v>2002500</v>
      </c>
      <c r="H118" s="5" t="n">
        <v>0</v>
      </c>
    </row>
    <row r="119" customFormat="false" ht="15" hidden="false" customHeight="false" outlineLevel="0" collapsed="false">
      <c r="A119" s="4" t="s">
        <v>56</v>
      </c>
      <c r="B119" s="4" t="s">
        <v>321</v>
      </c>
      <c r="C119" s="4" t="s">
        <v>155</v>
      </c>
      <c r="D119" s="4" t="s">
        <v>269</v>
      </c>
      <c r="E119" s="4" t="s">
        <v>284</v>
      </c>
      <c r="F119" s="4" t="s">
        <v>285</v>
      </c>
      <c r="G119" s="5" t="n">
        <v>0</v>
      </c>
      <c r="H119" s="5" t="n">
        <v>2002500</v>
      </c>
    </row>
    <row r="120" customFormat="false" ht="15" hidden="false" customHeight="false" outlineLevel="0" collapsed="false">
      <c r="A120" s="4" t="s">
        <v>56</v>
      </c>
      <c r="B120" s="4" t="s">
        <v>321</v>
      </c>
      <c r="C120" s="4" t="s">
        <v>155</v>
      </c>
      <c r="D120" s="4" t="s">
        <v>269</v>
      </c>
      <c r="E120" s="4" t="s">
        <v>282</v>
      </c>
      <c r="F120" s="4" t="s">
        <v>283</v>
      </c>
      <c r="G120" s="5" t="n">
        <v>2002500</v>
      </c>
      <c r="H120" s="5" t="n">
        <v>0</v>
      </c>
    </row>
    <row r="121" customFormat="false" ht="15" hidden="false" customHeight="false" outlineLevel="0" collapsed="false">
      <c r="A121" s="4" t="s">
        <v>56</v>
      </c>
      <c r="B121" s="4" t="s">
        <v>321</v>
      </c>
      <c r="C121" s="4" t="s">
        <v>155</v>
      </c>
      <c r="D121" s="4" t="s">
        <v>269</v>
      </c>
      <c r="E121" s="4" t="s">
        <v>284</v>
      </c>
      <c r="F121" s="4" t="s">
        <v>285</v>
      </c>
      <c r="G121" s="5" t="n">
        <v>0</v>
      </c>
      <c r="H121" s="5" t="n">
        <v>2002500</v>
      </c>
    </row>
    <row r="122" customFormat="false" ht="15" hidden="false" customHeight="false" outlineLevel="0" collapsed="false">
      <c r="A122" s="4" t="s">
        <v>56</v>
      </c>
      <c r="B122" s="4" t="s">
        <v>321</v>
      </c>
      <c r="C122" s="4" t="s">
        <v>155</v>
      </c>
      <c r="D122" s="4" t="s">
        <v>269</v>
      </c>
      <c r="E122" s="4" t="s">
        <v>282</v>
      </c>
      <c r="F122" s="4" t="s">
        <v>283</v>
      </c>
      <c r="G122" s="5" t="n">
        <v>2002500</v>
      </c>
      <c r="H122" s="5" t="n">
        <v>0</v>
      </c>
    </row>
    <row r="123" customFormat="false" ht="15" hidden="false" customHeight="false" outlineLevel="0" collapsed="false">
      <c r="A123" s="4" t="s">
        <v>56</v>
      </c>
      <c r="B123" s="4" t="s">
        <v>321</v>
      </c>
      <c r="C123" s="4" t="s">
        <v>155</v>
      </c>
      <c r="D123" s="4" t="s">
        <v>269</v>
      </c>
      <c r="E123" s="4" t="s">
        <v>284</v>
      </c>
      <c r="F123" s="4" t="s">
        <v>285</v>
      </c>
      <c r="G123" s="5" t="n">
        <v>0</v>
      </c>
      <c r="H123" s="5" t="n">
        <v>2002500</v>
      </c>
    </row>
    <row r="124" customFormat="false" ht="15" hidden="false" customHeight="false" outlineLevel="0" collapsed="false">
      <c r="A124" s="4" t="s">
        <v>56</v>
      </c>
      <c r="B124" s="4" t="s">
        <v>321</v>
      </c>
      <c r="C124" s="4" t="s">
        <v>155</v>
      </c>
      <c r="D124" s="4" t="s">
        <v>269</v>
      </c>
      <c r="E124" s="4" t="s">
        <v>282</v>
      </c>
      <c r="F124" s="4" t="s">
        <v>283</v>
      </c>
      <c r="G124" s="5" t="n">
        <v>2002500</v>
      </c>
      <c r="H124" s="5" t="n">
        <v>0</v>
      </c>
    </row>
    <row r="125" customFormat="false" ht="15" hidden="false" customHeight="false" outlineLevel="0" collapsed="false">
      <c r="A125" s="4" t="s">
        <v>56</v>
      </c>
      <c r="B125" s="4" t="s">
        <v>321</v>
      </c>
      <c r="C125" s="4" t="s">
        <v>155</v>
      </c>
      <c r="D125" s="4" t="s">
        <v>269</v>
      </c>
      <c r="E125" s="4" t="s">
        <v>284</v>
      </c>
      <c r="F125" s="4" t="s">
        <v>285</v>
      </c>
      <c r="G125" s="5" t="n">
        <v>0</v>
      </c>
      <c r="H125" s="5" t="n">
        <v>2002500</v>
      </c>
    </row>
    <row r="126" customFormat="false" ht="15" hidden="false" customHeight="false" outlineLevel="0" collapsed="false">
      <c r="A126" s="4" t="s">
        <v>56</v>
      </c>
      <c r="B126" s="4" t="s">
        <v>321</v>
      </c>
      <c r="C126" s="4" t="s">
        <v>155</v>
      </c>
      <c r="D126" s="4" t="s">
        <v>269</v>
      </c>
      <c r="E126" s="4" t="s">
        <v>282</v>
      </c>
      <c r="F126" s="4" t="s">
        <v>283</v>
      </c>
      <c r="G126" s="5" t="n">
        <v>2002500</v>
      </c>
      <c r="H126" s="5" t="n">
        <v>0</v>
      </c>
    </row>
    <row r="127" customFormat="false" ht="15" hidden="false" customHeight="false" outlineLevel="0" collapsed="false">
      <c r="A127" s="4" t="s">
        <v>56</v>
      </c>
      <c r="B127" s="4" t="s">
        <v>321</v>
      </c>
      <c r="C127" s="4" t="s">
        <v>155</v>
      </c>
      <c r="D127" s="4" t="s">
        <v>269</v>
      </c>
      <c r="E127" s="4" t="s">
        <v>284</v>
      </c>
      <c r="F127" s="4" t="s">
        <v>285</v>
      </c>
      <c r="G127" s="5" t="n">
        <v>0</v>
      </c>
      <c r="H127" s="5" t="n">
        <v>2002500</v>
      </c>
    </row>
    <row r="128" customFormat="false" ht="15" hidden="false" customHeight="false" outlineLevel="0" collapsed="false">
      <c r="A128" s="4" t="s">
        <v>56</v>
      </c>
      <c r="B128" s="4" t="s">
        <v>321</v>
      </c>
      <c r="C128" s="4" t="s">
        <v>155</v>
      </c>
      <c r="D128" s="4" t="s">
        <v>269</v>
      </c>
      <c r="E128" s="4" t="s">
        <v>282</v>
      </c>
      <c r="F128" s="4" t="s">
        <v>283</v>
      </c>
      <c r="G128" s="5" t="n">
        <v>2002500</v>
      </c>
      <c r="H128" s="5" t="n">
        <v>0</v>
      </c>
    </row>
    <row r="129" customFormat="false" ht="15" hidden="false" customHeight="false" outlineLevel="0" collapsed="false">
      <c r="A129" s="4" t="s">
        <v>56</v>
      </c>
      <c r="B129" s="4" t="s">
        <v>321</v>
      </c>
      <c r="C129" s="4" t="s">
        <v>155</v>
      </c>
      <c r="D129" s="4" t="s">
        <v>269</v>
      </c>
      <c r="E129" s="4" t="s">
        <v>284</v>
      </c>
      <c r="F129" s="4" t="s">
        <v>285</v>
      </c>
      <c r="G129" s="5" t="n">
        <v>0</v>
      </c>
      <c r="H129" s="5" t="n">
        <v>2002500</v>
      </c>
    </row>
    <row r="130" customFormat="false" ht="15" hidden="false" customHeight="false" outlineLevel="0" collapsed="false">
      <c r="A130" s="4" t="s">
        <v>56</v>
      </c>
      <c r="B130" s="4" t="s">
        <v>322</v>
      </c>
      <c r="C130" s="4" t="s">
        <v>162</v>
      </c>
      <c r="D130" s="4" t="s">
        <v>269</v>
      </c>
      <c r="E130" s="4" t="s">
        <v>270</v>
      </c>
      <c r="F130" s="4" t="s">
        <v>271</v>
      </c>
      <c r="G130" s="5" t="n">
        <v>70000</v>
      </c>
      <c r="H130" s="5" t="n">
        <v>0</v>
      </c>
    </row>
    <row r="131" customFormat="false" ht="15" hidden="false" customHeight="false" outlineLevel="0" collapsed="false">
      <c r="A131" s="4" t="s">
        <v>56</v>
      </c>
      <c r="B131" s="4" t="s">
        <v>322</v>
      </c>
      <c r="C131" s="4" t="s">
        <v>162</v>
      </c>
      <c r="D131" s="4" t="s">
        <v>269</v>
      </c>
      <c r="E131" s="4" t="s">
        <v>156</v>
      </c>
      <c r="F131" s="4" t="s">
        <v>157</v>
      </c>
      <c r="G131" s="5" t="n">
        <v>0</v>
      </c>
      <c r="H131" s="5" t="n">
        <v>70000</v>
      </c>
    </row>
    <row r="132" customFormat="false" ht="15" hidden="false" customHeight="false" outlineLevel="0" collapsed="false">
      <c r="A132" s="4" t="s">
        <v>56</v>
      </c>
      <c r="B132" s="4" t="s">
        <v>323</v>
      </c>
      <c r="C132" s="4" t="s">
        <v>166</v>
      </c>
      <c r="D132" s="4" t="s">
        <v>269</v>
      </c>
      <c r="E132" s="4" t="s">
        <v>270</v>
      </c>
      <c r="F132" s="4" t="s">
        <v>271</v>
      </c>
      <c r="G132" s="5" t="n">
        <v>500000</v>
      </c>
      <c r="H132" s="5" t="n">
        <v>0</v>
      </c>
    </row>
    <row r="133" customFormat="false" ht="15" hidden="false" customHeight="false" outlineLevel="0" collapsed="false">
      <c r="A133" s="4" t="s">
        <v>56</v>
      </c>
      <c r="B133" s="4" t="s">
        <v>323</v>
      </c>
      <c r="C133" s="4" t="s">
        <v>166</v>
      </c>
      <c r="D133" s="4" t="s">
        <v>269</v>
      </c>
      <c r="E133" s="4" t="s">
        <v>156</v>
      </c>
      <c r="F133" s="4" t="s">
        <v>157</v>
      </c>
      <c r="G133" s="5" t="n">
        <v>0</v>
      </c>
      <c r="H133" s="5" t="n">
        <v>500000</v>
      </c>
    </row>
    <row r="134" customFormat="false" ht="15" hidden="false" customHeight="false" outlineLevel="0" collapsed="false">
      <c r="A134" s="4" t="s">
        <v>56</v>
      </c>
      <c r="B134" s="4" t="s">
        <v>321</v>
      </c>
      <c r="C134" s="4" t="s">
        <v>155</v>
      </c>
      <c r="D134" s="4" t="s">
        <v>269</v>
      </c>
      <c r="E134" s="4" t="s">
        <v>282</v>
      </c>
      <c r="F134" s="4" t="s">
        <v>283</v>
      </c>
      <c r="G134" s="5" t="n">
        <v>2002500</v>
      </c>
      <c r="H134" s="5" t="n">
        <v>0</v>
      </c>
    </row>
    <row r="135" customFormat="false" ht="15" hidden="false" customHeight="false" outlineLevel="0" collapsed="false">
      <c r="A135" s="4" t="s">
        <v>56</v>
      </c>
      <c r="B135" s="4" t="s">
        <v>321</v>
      </c>
      <c r="C135" s="4" t="s">
        <v>155</v>
      </c>
      <c r="D135" s="4" t="s">
        <v>269</v>
      </c>
      <c r="E135" s="4" t="s">
        <v>284</v>
      </c>
      <c r="F135" s="4" t="s">
        <v>285</v>
      </c>
      <c r="G135" s="5" t="n">
        <v>0</v>
      </c>
      <c r="H135" s="5" t="n">
        <v>2002500</v>
      </c>
    </row>
    <row r="136" customFormat="false" ht="15" hidden="false" customHeight="false" outlineLevel="0" collapsed="false">
      <c r="A136" s="4" t="s">
        <v>56</v>
      </c>
      <c r="B136" s="4" t="s">
        <v>324</v>
      </c>
      <c r="C136" s="4" t="s">
        <v>222</v>
      </c>
      <c r="D136" s="4" t="s">
        <v>269</v>
      </c>
      <c r="E136" s="4" t="s">
        <v>270</v>
      </c>
      <c r="F136" s="4" t="s">
        <v>271</v>
      </c>
      <c r="G136" s="5" t="n">
        <v>10000</v>
      </c>
      <c r="H136" s="5" t="n">
        <v>0</v>
      </c>
    </row>
    <row r="137" customFormat="false" ht="15" hidden="false" customHeight="false" outlineLevel="0" collapsed="false">
      <c r="A137" s="4" t="s">
        <v>56</v>
      </c>
      <c r="B137" s="4" t="s">
        <v>324</v>
      </c>
      <c r="C137" s="4" t="s">
        <v>222</v>
      </c>
      <c r="D137" s="4" t="s">
        <v>269</v>
      </c>
      <c r="E137" s="4" t="s">
        <v>156</v>
      </c>
      <c r="F137" s="4" t="s">
        <v>157</v>
      </c>
      <c r="G137" s="5" t="n">
        <v>0</v>
      </c>
      <c r="H137" s="5" t="n">
        <v>10000</v>
      </c>
    </row>
    <row r="138" customFormat="false" ht="15" hidden="false" customHeight="false" outlineLevel="0" collapsed="false">
      <c r="A138" s="4" t="s">
        <v>56</v>
      </c>
      <c r="B138" s="4" t="s">
        <v>325</v>
      </c>
      <c r="C138" s="4" t="s">
        <v>222</v>
      </c>
      <c r="D138" s="4" t="s">
        <v>269</v>
      </c>
      <c r="E138" s="4" t="s">
        <v>278</v>
      </c>
      <c r="F138" s="4" t="s">
        <v>279</v>
      </c>
      <c r="G138" s="5" t="n">
        <v>8000000</v>
      </c>
      <c r="H138" s="5" t="n">
        <v>0</v>
      </c>
    </row>
    <row r="139" customFormat="false" ht="15" hidden="false" customHeight="false" outlineLevel="0" collapsed="false">
      <c r="A139" s="4" t="s">
        <v>56</v>
      </c>
      <c r="B139" s="4" t="s">
        <v>325</v>
      </c>
      <c r="C139" s="4" t="s">
        <v>222</v>
      </c>
      <c r="D139" s="4" t="s">
        <v>269</v>
      </c>
      <c r="E139" s="4" t="s">
        <v>175</v>
      </c>
      <c r="F139" s="4" t="s">
        <v>176</v>
      </c>
      <c r="G139" s="5" t="n">
        <v>0</v>
      </c>
      <c r="H139" s="5" t="n">
        <v>8000000</v>
      </c>
    </row>
    <row r="140" customFormat="false" ht="15" hidden="false" customHeight="false" outlineLevel="0" collapsed="false">
      <c r="A140" s="4" t="s">
        <v>56</v>
      </c>
      <c r="B140" s="4" t="s">
        <v>326</v>
      </c>
      <c r="C140" s="4" t="s">
        <v>222</v>
      </c>
      <c r="D140" s="4" t="s">
        <v>269</v>
      </c>
      <c r="E140" s="4" t="s">
        <v>270</v>
      </c>
      <c r="F140" s="4" t="s">
        <v>271</v>
      </c>
      <c r="G140" s="5" t="n">
        <v>4000</v>
      </c>
      <c r="H140" s="5" t="n">
        <v>0</v>
      </c>
    </row>
    <row r="141" customFormat="false" ht="15" hidden="false" customHeight="false" outlineLevel="0" collapsed="false">
      <c r="A141" s="4" t="s">
        <v>56</v>
      </c>
      <c r="B141" s="4" t="s">
        <v>326</v>
      </c>
      <c r="C141" s="4" t="s">
        <v>222</v>
      </c>
      <c r="D141" s="4" t="s">
        <v>269</v>
      </c>
      <c r="E141" s="4" t="s">
        <v>156</v>
      </c>
      <c r="F141" s="4" t="s">
        <v>157</v>
      </c>
      <c r="G141" s="5" t="n">
        <v>0</v>
      </c>
      <c r="H141" s="5" t="n">
        <v>4000</v>
      </c>
    </row>
    <row r="142" customFormat="false" ht="15" hidden="false" customHeight="false" outlineLevel="0" collapsed="false">
      <c r="A142" s="4" t="s">
        <v>56</v>
      </c>
      <c r="B142" s="4" t="s">
        <v>327</v>
      </c>
      <c r="C142" s="4" t="s">
        <v>222</v>
      </c>
      <c r="D142" s="4" t="s">
        <v>269</v>
      </c>
      <c r="E142" s="4" t="s">
        <v>287</v>
      </c>
      <c r="F142" s="4" t="s">
        <v>288</v>
      </c>
      <c r="G142" s="5" t="n">
        <v>6273000</v>
      </c>
      <c r="H142" s="5" t="n">
        <v>0</v>
      </c>
    </row>
    <row r="143" customFormat="false" ht="15" hidden="false" customHeight="false" outlineLevel="0" collapsed="false">
      <c r="A143" s="4" t="s">
        <v>56</v>
      </c>
      <c r="B143" s="4" t="s">
        <v>327</v>
      </c>
      <c r="C143" s="4" t="s">
        <v>222</v>
      </c>
      <c r="D143" s="4" t="s">
        <v>269</v>
      </c>
      <c r="E143" s="4" t="s">
        <v>186</v>
      </c>
      <c r="F143" s="4" t="s">
        <v>187</v>
      </c>
      <c r="G143" s="5" t="n">
        <v>0</v>
      </c>
      <c r="H143" s="5" t="n">
        <v>6273000</v>
      </c>
    </row>
    <row r="144" customFormat="false" ht="15" hidden="false" customHeight="false" outlineLevel="0" collapsed="false">
      <c r="A144" s="4" t="s">
        <v>56</v>
      </c>
      <c r="B144" s="4" t="s">
        <v>328</v>
      </c>
      <c r="C144" s="4" t="s">
        <v>222</v>
      </c>
      <c r="D144" s="4" t="s">
        <v>269</v>
      </c>
      <c r="E144" s="4" t="s">
        <v>270</v>
      </c>
      <c r="F144" s="4" t="s">
        <v>271</v>
      </c>
      <c r="G144" s="5" t="n">
        <v>10000</v>
      </c>
      <c r="H144" s="5" t="n">
        <v>0</v>
      </c>
    </row>
    <row r="145" customFormat="false" ht="15" hidden="false" customHeight="false" outlineLevel="0" collapsed="false">
      <c r="A145" s="4" t="s">
        <v>56</v>
      </c>
      <c r="B145" s="4" t="s">
        <v>328</v>
      </c>
      <c r="C145" s="4" t="s">
        <v>222</v>
      </c>
      <c r="D145" s="4" t="s">
        <v>269</v>
      </c>
      <c r="E145" s="4" t="s">
        <v>156</v>
      </c>
      <c r="F145" s="4" t="s">
        <v>157</v>
      </c>
      <c r="G145" s="5" t="n">
        <v>0</v>
      </c>
      <c r="H145" s="5" t="n">
        <v>10000</v>
      </c>
    </row>
    <row r="146" customFormat="false" ht="15" hidden="false" customHeight="false" outlineLevel="0" collapsed="false">
      <c r="A146" s="4" t="s">
        <v>56</v>
      </c>
      <c r="B146" s="4" t="s">
        <v>329</v>
      </c>
      <c r="C146" s="4" t="s">
        <v>229</v>
      </c>
      <c r="D146" s="4" t="s">
        <v>269</v>
      </c>
      <c r="E146" s="4" t="s">
        <v>295</v>
      </c>
      <c r="F146" s="4" t="s">
        <v>296</v>
      </c>
      <c r="G146" s="5" t="n">
        <v>100000</v>
      </c>
      <c r="H146" s="5" t="n">
        <v>0</v>
      </c>
    </row>
    <row r="147" customFormat="false" ht="15" hidden="false" customHeight="false" outlineLevel="0" collapsed="false">
      <c r="A147" s="4" t="s">
        <v>56</v>
      </c>
      <c r="B147" s="4" t="s">
        <v>329</v>
      </c>
      <c r="C147" s="4" t="s">
        <v>229</v>
      </c>
      <c r="D147" s="4" t="s">
        <v>269</v>
      </c>
      <c r="E147" s="4" t="s">
        <v>207</v>
      </c>
      <c r="F147" s="4" t="s">
        <v>208</v>
      </c>
      <c r="G147" s="5" t="n">
        <v>0</v>
      </c>
      <c r="H147" s="5" t="n">
        <v>100000</v>
      </c>
    </row>
    <row r="148" customFormat="false" ht="15" hidden="false" customHeight="false" outlineLevel="0" collapsed="false">
      <c r="A148" s="4" t="s">
        <v>56</v>
      </c>
      <c r="B148" s="4" t="s">
        <v>330</v>
      </c>
      <c r="C148" s="4" t="s">
        <v>229</v>
      </c>
      <c r="D148" s="4" t="s">
        <v>269</v>
      </c>
      <c r="E148" s="4" t="s">
        <v>270</v>
      </c>
      <c r="F148" s="4" t="s">
        <v>271</v>
      </c>
      <c r="G148" s="5" t="n">
        <v>500000</v>
      </c>
      <c r="H148" s="5" t="n">
        <v>0</v>
      </c>
    </row>
    <row r="149" customFormat="false" ht="15" hidden="false" customHeight="false" outlineLevel="0" collapsed="false">
      <c r="A149" s="4" t="s">
        <v>56</v>
      </c>
      <c r="B149" s="4" t="s">
        <v>330</v>
      </c>
      <c r="C149" s="4" t="s">
        <v>229</v>
      </c>
      <c r="D149" s="4" t="s">
        <v>269</v>
      </c>
      <c r="E149" s="4" t="s">
        <v>156</v>
      </c>
      <c r="F149" s="4" t="s">
        <v>157</v>
      </c>
      <c r="G149" s="5" t="n">
        <v>0</v>
      </c>
      <c r="H149" s="5" t="n">
        <v>500000</v>
      </c>
    </row>
    <row r="150" customFormat="false" ht="15" hidden="false" customHeight="false" outlineLevel="0" collapsed="false">
      <c r="A150" s="4" t="s">
        <v>56</v>
      </c>
      <c r="B150" s="4" t="s">
        <v>331</v>
      </c>
      <c r="C150" s="4" t="s">
        <v>229</v>
      </c>
      <c r="D150" s="4" t="s">
        <v>269</v>
      </c>
      <c r="E150" s="4" t="s">
        <v>270</v>
      </c>
      <c r="F150" s="4" t="s">
        <v>271</v>
      </c>
      <c r="G150" s="5" t="n">
        <v>175000</v>
      </c>
      <c r="H150" s="5" t="n">
        <v>0</v>
      </c>
    </row>
    <row r="151" customFormat="false" ht="15" hidden="false" customHeight="false" outlineLevel="0" collapsed="false">
      <c r="A151" s="4" t="s">
        <v>56</v>
      </c>
      <c r="B151" s="4" t="s">
        <v>331</v>
      </c>
      <c r="C151" s="4" t="s">
        <v>229</v>
      </c>
      <c r="D151" s="4" t="s">
        <v>269</v>
      </c>
      <c r="E151" s="4" t="s">
        <v>156</v>
      </c>
      <c r="F151" s="4" t="s">
        <v>157</v>
      </c>
      <c r="G151" s="5" t="n">
        <v>0</v>
      </c>
      <c r="H151" s="5" t="n">
        <v>175000</v>
      </c>
    </row>
    <row r="152" customFormat="false" ht="15" hidden="false" customHeight="false" outlineLevel="0" collapsed="false">
      <c r="A152" s="4" t="s">
        <v>56</v>
      </c>
      <c r="B152" s="4" t="s">
        <v>332</v>
      </c>
      <c r="C152" s="4" t="s">
        <v>229</v>
      </c>
      <c r="D152" s="4" t="s">
        <v>269</v>
      </c>
      <c r="E152" s="4" t="s">
        <v>270</v>
      </c>
      <c r="F152" s="4" t="s">
        <v>271</v>
      </c>
      <c r="G152" s="5" t="n">
        <v>28000</v>
      </c>
      <c r="H152" s="5" t="n">
        <v>0</v>
      </c>
    </row>
    <row r="153" customFormat="false" ht="15" hidden="false" customHeight="false" outlineLevel="0" collapsed="false">
      <c r="A153" s="4" t="s">
        <v>56</v>
      </c>
      <c r="B153" s="4" t="s">
        <v>332</v>
      </c>
      <c r="C153" s="4" t="s">
        <v>229</v>
      </c>
      <c r="D153" s="4" t="s">
        <v>269</v>
      </c>
      <c r="E153" s="4" t="s">
        <v>156</v>
      </c>
      <c r="F153" s="4" t="s">
        <v>157</v>
      </c>
      <c r="G153" s="5" t="n">
        <v>0</v>
      </c>
      <c r="H153" s="5" t="n">
        <v>28000</v>
      </c>
    </row>
    <row r="154" customFormat="false" ht="15" hidden="false" customHeight="false" outlineLevel="0" collapsed="false">
      <c r="A154" s="4" t="s">
        <v>56</v>
      </c>
      <c r="B154" s="4" t="s">
        <v>333</v>
      </c>
      <c r="C154" s="4" t="s">
        <v>233</v>
      </c>
      <c r="D154" s="4" t="s">
        <v>269</v>
      </c>
      <c r="E154" s="4" t="s">
        <v>270</v>
      </c>
      <c r="F154" s="4" t="s">
        <v>271</v>
      </c>
      <c r="G154" s="5" t="n">
        <v>200000</v>
      </c>
      <c r="H154" s="5" t="n">
        <v>0</v>
      </c>
    </row>
    <row r="155" customFormat="false" ht="15" hidden="false" customHeight="false" outlineLevel="0" collapsed="false">
      <c r="A155" s="4" t="s">
        <v>56</v>
      </c>
      <c r="B155" s="4" t="s">
        <v>333</v>
      </c>
      <c r="C155" s="4" t="s">
        <v>233</v>
      </c>
      <c r="D155" s="4" t="s">
        <v>269</v>
      </c>
      <c r="E155" s="4" t="s">
        <v>156</v>
      </c>
      <c r="F155" s="4" t="s">
        <v>157</v>
      </c>
      <c r="G155" s="5" t="n">
        <v>0</v>
      </c>
      <c r="H155" s="5" t="n">
        <v>200000</v>
      </c>
    </row>
    <row r="156" customFormat="false" ht="15" hidden="false" customHeight="false" outlineLevel="0" collapsed="false">
      <c r="A156" s="4" t="s">
        <v>56</v>
      </c>
      <c r="B156" s="4" t="s">
        <v>334</v>
      </c>
      <c r="C156" s="4" t="s">
        <v>335</v>
      </c>
      <c r="D156" s="4" t="s">
        <v>269</v>
      </c>
      <c r="E156" s="4" t="s">
        <v>295</v>
      </c>
      <c r="F156" s="4" t="s">
        <v>296</v>
      </c>
      <c r="G156" s="5" t="n">
        <v>70000</v>
      </c>
      <c r="H156" s="5" t="n">
        <v>0</v>
      </c>
    </row>
    <row r="157" customFormat="false" ht="15" hidden="false" customHeight="false" outlineLevel="0" collapsed="false">
      <c r="A157" s="4" t="s">
        <v>56</v>
      </c>
      <c r="B157" s="4" t="s">
        <v>334</v>
      </c>
      <c r="C157" s="4" t="s">
        <v>335</v>
      </c>
      <c r="D157" s="4" t="s">
        <v>269</v>
      </c>
      <c r="E157" s="4" t="s">
        <v>207</v>
      </c>
      <c r="F157" s="4" t="s">
        <v>208</v>
      </c>
      <c r="G157" s="5" t="n">
        <v>0</v>
      </c>
      <c r="H157" s="5" t="n">
        <v>70000</v>
      </c>
    </row>
    <row r="158" customFormat="false" ht="15" hidden="false" customHeight="false" outlineLevel="0" collapsed="false">
      <c r="A158" s="4" t="s">
        <v>56</v>
      </c>
      <c r="B158" s="4" t="s">
        <v>336</v>
      </c>
      <c r="C158" s="4" t="s">
        <v>335</v>
      </c>
      <c r="D158" s="4" t="s">
        <v>269</v>
      </c>
      <c r="E158" s="4" t="s">
        <v>270</v>
      </c>
      <c r="F158" s="4" t="s">
        <v>271</v>
      </c>
      <c r="G158" s="5" t="n">
        <v>17500</v>
      </c>
      <c r="H158" s="5" t="n">
        <v>0</v>
      </c>
    </row>
    <row r="159" customFormat="false" ht="15" hidden="false" customHeight="false" outlineLevel="0" collapsed="false">
      <c r="A159" s="4" t="s">
        <v>56</v>
      </c>
      <c r="B159" s="4" t="s">
        <v>336</v>
      </c>
      <c r="C159" s="4" t="s">
        <v>335</v>
      </c>
      <c r="D159" s="4" t="s">
        <v>269</v>
      </c>
      <c r="E159" s="4" t="s">
        <v>156</v>
      </c>
      <c r="F159" s="4" t="s">
        <v>157</v>
      </c>
      <c r="G159" s="5" t="n">
        <v>0</v>
      </c>
      <c r="H159" s="5" t="n">
        <v>17500</v>
      </c>
    </row>
    <row r="160" customFormat="false" ht="15" hidden="false" customHeight="false" outlineLevel="0" collapsed="false">
      <c r="A160" s="9" t="s">
        <v>66</v>
      </c>
      <c r="G160" s="10" t="n">
        <f aca="false">SUM(G2:G159)</f>
        <v>73964650</v>
      </c>
      <c r="H160" s="10" t="n">
        <f aca="false">SUM(H2:H159)</f>
        <v>73964650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2026-06-26T04:37:21Z</dcterms:created>
  <dc:creator>openpyxl</dc:creator>
  <dc:description/>
  <dc:language>en-US</dc:language>
  <cp:lastModifiedBy/>
  <dcterms:modified xsi:type="dcterms:W3CDTF">2026-06-26T04:37:21Z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